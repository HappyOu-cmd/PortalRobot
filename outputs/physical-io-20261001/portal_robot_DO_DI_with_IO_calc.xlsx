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8f606f57e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+DI" sheetId="1" r:id="Ra535f5105eaf48e5"/>
    <x:sheet xmlns:r="http://schemas.openxmlformats.org/officeDocument/2006/relationships" name="Калькуляция DO+DI" sheetId="2" r:id="R71b1274e9c854728"/>
    <x:sheet xmlns:r="http://schemas.openxmlformats.org/officeDocument/2006/relationships" name="Сверка с ПЛК" sheetId="3" r:id="Re2f32da8131e4711"/>
  </x:sheets>
</x:workbook>
</file>

<file path=xl/sharedStrings.xml><?xml version="1.0" encoding="utf-8"?>
<x:sst xmlns:x="http://schemas.openxmlformats.org/spreadsheetml/2006/main">
  <x:si>
    <x:t xml:space="preserve">РАСЧЁТ ДИСКРЕТНЫХ ВХОДОВ / ВЫХОДОВ</x:t>
  </x:si>
  <x:si>
    <x:t xml:space="preserve">Параметр</x:t>
  </x:si>
  <x:si>
    <x:t xml:space="preserve">DO · выходы</x:t>
  </x:si>
  <x:si>
    <x:t xml:space="preserve">DI · входы</x:t>
  </x:si>
  <x:si>
    <x:t xml:space="preserve">Всего назначено + резерв HSC</x:t>
  </x:si>
  <x:si>
    <x:t xml:space="preserve">Базовые I/O ПЛК</x:t>
  </x:si>
  <x:si>
    <x:t xml:space="preserve">Модуль расширения</x:t>
  </x:si>
  <x:si>
    <x:t xml:space="preserve">GL200-DQ16D</x:t>
  </x:si>
  <x:si>
    <x:t xml:space="preserve">GL200-DI32</x:t>
  </x:si>
  <x:si>
    <x:t xml:space="preserve">Каналов в одном модуле</x:t>
  </x:si>
  <x:si>
    <x:t xml:space="preserve">Установлено модулей</x:t>
  </x:si>
  <x:si>
    <x:t xml:space="preserve">Всего доступно каналов</x:t>
  </x:si>
  <x:si>
    <x:t xml:space="preserve">Свободно / нехватка (−)</x:t>
  </x:si>
  <x:si>
    <x:t xml:space="preserve">Требуется ещё модулей</x:t>
  </x:si>
  <x:si>
    <x:t xml:space="preserve">Из них резерв MPG HSC</x:t>
  </x:si>
  <x:si>
    <x:t xml:space="preserve">Обычные дискретные точки</x:t>
  </x:si>
</x:sst>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111827"/>
      <x:name val="Carlito"/>
    </x:font>
    <x:font>
      <x:i/>
      <x:sz val="11"/>
      <x:color rgb="FF42546C"/>
      <x:name val="Carlito"/>
    </x:font>
    <x:font>
      <x:sz val="11"/>
      <x:color rgb="FF222222"/>
      <x:name val="Carlito"/>
    </x:font>
    <x:font>
      <x:b/>
      <x:sz val="11"/>
      <x:color rgb="FF222222"/>
      <x:name val="Carlito"/>
    </x:font>
    <x:font>
      <x:sz val="11"/>
      <x:color rgb="FF785018"/>
      <x:name val="Carlito"/>
    </x:font>
    <x:font>
      <x:b/>
      <x:sz val="11"/>
      <x:color rgb="FF375623"/>
      <x:name val="Carlito"/>
    </x:font>
    <x:font>
      <x:sz val="11"/>
      <x:color rgb="FF42546C"/>
      <x:name val="Arial"/>
    </x:font>
    <x:font>
      <x:b/>
      <x:sz val="15"/>
      <x:color rgb="FF203864"/>
      <x:name val="Arial"/>
    </x:font>
    <x:font>
      <x:b/>
      <x:sz val="11"/>
      <x:color rgb="FFFFFFFF"/>
      <x:name val="Arial"/>
    </x:font>
    <x:font>
      <x:sz val="11"/>
      <x:color rgb="FF222222"/>
      <x:name val="Arial"/>
    </x:font>
    <x:font>
      <x:b/>
      <x:sz val="15"/>
      <x:color rgb="FFFFFFFF"/>
      <x:name val="Carlito"/>
    </x:font>
    <x:font>
      <x:sz val="11"/>
      <x:color rgb="FF9C2700"/>
      <x:name val="Carlito"/>
    </x:font>
    <x:font>
      <x:b/>
      <x:sz val="11"/>
      <x:color rgb="FF785018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5733B"/>
      </x:patternFill>
    </x:fill>
    <x:fill>
      <x:patternFill patternType="solid">
        <x:fgColor rgb="FF2457D6"/>
      </x:patternFill>
    </x:fill>
    <x:fill>
      <x:patternFill patternType="solid">
        <x:fgColor rgb="FFF3F4F6"/>
      </x:patternFill>
    </x:fill>
    <x:fill>
      <x:patternFill patternType="solid">
        <x:fgColor rgb="FFEAF7EF"/>
      </x:patternFill>
    </x:fill>
    <x:fill>
      <x:patternFill patternType="solid">
        <x:fgColor rgb="FFEDF3FF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548235"/>
      </x:patternFill>
    </x:fill>
    <x:fill>
      <x:patternFill patternType="solid">
        <x:fgColor rgb="FF2F75B5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FF5050"/>
      </x:patternFill>
    </x:fill>
    <x:fill>
      <x:patternFill patternType="solid">
        <x:fgColor rgb="FF548235"/>
      </x:patternFill>
    </x:fill>
    <x:fill>
      <x:patternFill patternType="solid">
        <x:fgColor rgb="FF2F75B5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</x:fills>
  <x:borders count="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8E2F0"/>
      </x:bottom>
    </x:border>
    <x:border>
      <x:top style="thin">
        <x:color rgb="FFD8E2F0"/>
      </x:top>
      <x:bottom style="thin">
        <x:color rgb="FFD8E2F0"/>
      </x:bottom>
    </x:border>
    <x:border>
      <x:top style="thin">
        <x:color rgb="FFD8E2F0"/>
      </x:top>
    </x:border>
    <x:border>
      <x:bottom style="thin">
        <x:color rgb="FFBDD7EE"/>
      </x:bottom>
    </x:border>
    <x:border>
      <x:top style="thin">
        <x:color rgb="FFBDD7EE"/>
      </x:top>
      <x:bottom style="thin">
        <x:color rgb="FFBDD7EE"/>
      </x:bottom>
    </x:border>
    <x:border>
      <x:top style="thin">
        <x:color rgb="FFBDD7EE"/>
      </x:top>
    </x:border>
  </x:borders>
  <x:cellStyleXfs count="2">
    <x:xf numFmtId="0" fontId="0" fillId="0" borderId="0"/>
    <x:xf numFmtId="0" fontId="2" fillId="0" borderId="0"/>
  </x:cellStyleXfs>
  <x:cellXfs count="72">
    <x:xf numFmtId="0" fontId="0" fillId="0" borderId="0" xfId="0"/>
    <x:xf numFmtId="0" fontId="1" fillId="2" borderId="1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4" fillId="0" borderId="2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0" fillId="12" borderId="6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10" fillId="12" borderId="7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16" fillId="13" borderId="6" xfId="0" applyNumberFormat="1" applyFont="1" applyFill="1" applyBorder="1" applyAlignment="1">
      <x:alignment vertical="center" wrapText="1"/>
    </x:xf>
    <x:xf numFmtId="0" fontId="17" fillId="14" borderId="6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1" fillId="0" borderId="0" xfId="0" applyNumberFormat="1" applyFont="1" applyFill="1" applyBorder="1"/>
    <x:xf numFmtId="0" fontId="7" fillId="16" borderId="6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6" fillId="0" borderId="0" xfId="0" applyNumberFormat="1" applyFont="1" applyFill="1" applyBorder="1"/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19" borderId="5" xfId="0" applyNumberFormat="1" applyFont="1" applyFill="1" applyBorder="1" applyAlignment="1">
      <x:alignment vertical="center" wrapText="1"/>
    </x:xf>
    <x:xf numFmtId="0" fontId="10" fillId="19" borderId="5" xfId="0" applyNumberFormat="1" applyFont="1" applyFill="1" applyBorder="1" applyAlignment="1">
      <x:alignment vertical="center" wrapText="1"/>
    </x:xf>
    <x:xf numFmtId="0" fontId="7" fillId="19" borderId="6" xfId="0" applyNumberFormat="1" applyFont="1" applyFill="1" applyBorder="1" applyAlignment="1">
      <x:alignment vertical="center" wrapText="1"/>
    </x:xf>
    <x:xf numFmtId="0" fontId="10" fillId="19" borderId="6" xfId="0" applyNumberFormat="1" applyFont="1" applyFill="1" applyBorder="1" applyAlignment="1">
      <x:alignment vertical="center" wrapText="1"/>
    </x:xf>
    <x:xf numFmtId="0" fontId="7" fillId="20" borderId="6" xfId="0" applyNumberFormat="1" applyFont="1" applyFill="1" applyBorder="1" applyAlignment="1">
      <x:alignment vertical="center" wrapText="1"/>
    </x:xf>
    <x:xf numFmtId="0" fontId="16" fillId="20" borderId="6" xfId="0" applyNumberFormat="1" applyFont="1" applyFill="1" applyBorder="1" applyAlignment="1">
      <x:alignment vertical="center" wrapText="1"/>
    </x:xf>
    <x:xf numFmtId="0" fontId="7" fillId="19" borderId="7" xfId="0" applyNumberFormat="1" applyFont="1" applyFill="1" applyBorder="1" applyAlignment="1">
      <x:alignment vertical="center" wrapText="1"/>
    </x:xf>
    <x:xf numFmtId="0" fontId="10" fillId="19" borderId="7" xfId="0" applyNumberFormat="1" applyFont="1" applyFill="1" applyBorder="1" applyAlignment="1">
      <x:alignment vertical="center" wrapText="1"/>
    </x:xf>
    <x:xf numFmtId="0" fontId="7" fillId="20" borderId="7" xfId="0" applyNumberFormat="1" applyFont="1" applyFill="1" applyBorder="1" applyAlignment="1">
      <x:alignment vertical="center" wrapText="1"/>
    </x:xf>
    <x:xf numFmtId="0" fontId="16" fillId="20" borderId="7" xfId="0" applyNumberFormat="1" applyFont="1" applyFill="1" applyBorder="1" applyAlignment="1">
      <x:alignment vertical="center" wrapText="1"/>
    </x:xf>
    <x:xf numFmtId="0" fontId="7" fillId="21" borderId="6" xfId="0" applyNumberFormat="1" applyFont="1" applyFill="1" applyBorder="1" applyAlignment="1">
      <x:alignment vertical="center" wrapText="1"/>
    </x:xf>
    <x:xf numFmtId="0" fontId="17" fillId="21" borderId="6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Обычный" xfId="0"/>
  </x:cellStyles>
  <x:dxfs count="5">
    <x:dxf>
      <x:font>
        <x:b/>
        <x:color rgb="FF9C2700"/>
      </x:font>
      <x:fill>
        <x:patternFill>
          <x:bgColor rgb="FFFCE4D6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C2700"/>
      </x:font>
      <x:fill>
        <x:patternFill>
          <x:bgColor rgb="FFFCE4D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4d98636004755" /><Relationship Type="http://schemas.openxmlformats.org/officeDocument/2006/relationships/theme" Target="/xl/theme/theme1.xml" Id="Rf2200d6fbdb04aad" /><Relationship Type="http://schemas.openxmlformats.org/officeDocument/2006/relationships/sharedStrings" Target="/xl/sharedStrings.xml" Id="R6bcd9c30c3094cfb" /><Relationship Type="http://schemas.openxmlformats.org/officeDocument/2006/relationships/worksheet" Target="/xl/worksheets/sheet1.xml" Id="Ra535f5105eaf48e5" /><Relationship Type="http://schemas.openxmlformats.org/officeDocument/2006/relationships/worksheet" Target="/xl/worksheets/sheet2.xml" Id="R71b1274e9c854728" /><Relationship Type="http://schemas.openxmlformats.org/officeDocument/2006/relationships/worksheet" Target="/xl/worksheets/sheet3.xml" Id="Re2f32da8131e4711" /></Relationships>
</file>

<file path=xl/tables/table1.xml><?xml version="1.0" encoding="utf-8"?>
<x:table xmlns:x="http://schemas.openxmlformats.org/spreadsheetml/2006/main" id="1" name="DO_Table" displayName="DO_Table" ref="A3:G53" headerRowCount="1" totalsRowCount="0" totalsRowShown="0">
  <x:autoFilter ref="A3:G53"/>
  <x:tableColumns count="7">
    <x:tableColumn id="1" name="Категория"/>
    <x:tableColumn id="2" name="Название"/>
    <x:tableColumn id="3" name="Адрес (план)"/>
    <x:tableColumn id="4" name="Назначение"/>
    <x:tableColumn id="5" name="Имя в ПЛК"/>
    <x:tableColumn id="6" name="Подключение"/>
    <x:tableColumn id="7" name="Статус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DI_Table" displayName="DI_Table" ref="I3:O92" headerRowCount="1" totalsRowCount="0" totalsRowShown="0">
  <x:autoFilter ref="I3:O92"/>
  <x:tableColumns count="7">
    <x:tableColumn id="1" name="Категория"/>
    <x:tableColumn id="2" name="Название"/>
    <x:tableColumn id="3" name="Адрес (план)"/>
    <x:tableColumn id="4" name="Назначение"/>
    <x:tableColumn id="5" name="Имя в ПЛК"/>
    <x:tableColumn id="6" name="Подключение"/>
    <x:tableColumn id="7" name="Статус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3af896b9094e60" /><Relationship Type="http://schemas.openxmlformats.org/officeDocument/2006/relationships/table" Target="/xl/tables/table2.xml" Id="Rad73cfe29bbb42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17" hidden="0" customWidth="1"/>
    <x:col min="4" max="4" width="48" hidden="0" customWidth="1"/>
    <x:col min="5" max="5" width="47" hidden="0" customWidth="1"/>
    <x:col min="6" max="6" width="34" hidden="0" customWidth="1"/>
    <x:col min="7" max="7" width="19" hidden="0" customWidth="1"/>
    <x:col min="8" max="8" width="3" hidden="0" customWidth="1"/>
    <x:col min="9" max="9" width="18" hidden="0" customWidth="1"/>
    <x:col min="10" max="10" width="35" hidden="0" customWidth="1"/>
    <x:col min="11" max="11" width="17" hidden="0" customWidth="1"/>
    <x:col min="12" max="12" width="48" hidden="0" customWidth="1"/>
    <x:col min="13" max="13" width="47" hidden="0" customWidth="1"/>
    <x:col min="14" max="14" width="34" hidden="0" customWidth="1"/>
    <x:col min="15" max="15" width="19" hidden="0" customWidth="1"/>
  </x:cols>
  <x:sheetData>
    <x:row r="1" ht="30" customHeight="1">
      <x:c r="A1" s="39" t="str">
        <x:v>Дискретные выходы · DO</x:v>
      </x:c>
      <x:c r="B1" s="39"/>
      <x:c r="C1" s="39"/>
      <x:c r="D1" s="39"/>
      <x:c r="E1" s="39"/>
      <x:c r="F1" s="39"/>
      <x:c r="G1" s="39"/>
      <x:c r="I1" s="42" t="str">
        <x:v>Дискретные входы · DI</x:v>
      </x:c>
      <x:c r="J1" s="42"/>
      <x:c r="K1" s="42"/>
      <x:c r="L1" s="42"/>
      <x:c r="M1" s="42"/>
      <x:c r="N1" s="42"/>
      <x:c r="O1" s="42"/>
    </x:row>
    <x:row r="2" ht="36" customHeight="1">
      <x:c r="A2" s="31" t="str">
        <x:v>50 DO / 48 установлено. У каждого ГК свои Пуск/Стоп и Сброс. Второй ГК требует DQ16D №3.</x:v>
      </x:c>
      <x:c r="B2" s="31"/>
      <x:c r="C2" s="31"/>
      <x:c r="D2" s="31"/>
      <x:c r="E2" s="31"/>
      <x:c r="F2" s="31"/>
      <x:c r="G2" s="31"/>
      <x:c r="I2" s="31" t="str">
        <x:v>86 DI / 80 установлено, включая 2 HSC. ГК 1/2 — DI32 №2 CH26–31; герконы магазина 2 — DI32 №3 CH0–5.</x:v>
      </x:c>
      <x:c r="J2" s="31"/>
      <x:c r="K2" s="31"/>
      <x:c r="L2" s="31"/>
      <x:c r="M2" s="31"/>
      <x:c r="N2" s="31"/>
      <x:c r="O2" s="31"/>
    </x:row>
    <x:row r="3" ht="32" customHeight="1">
      <x:c r="A3" s="46" t="str">
        <x:v>Категория</x:v>
      </x:c>
      <x:c r="B3" s="46" t="str">
        <x:v>Название</x:v>
      </x:c>
      <x:c r="C3" s="46" t="str">
        <x:v>Адрес (план)</x:v>
      </x:c>
      <x:c r="D3" s="46" t="str">
        <x:v>Назначение</x:v>
      </x:c>
      <x:c r="E3" s="46" t="str">
        <x:v>Имя в ПЛК</x:v>
      </x:c>
      <x:c r="F3" s="46" t="str">
        <x:v>Подключение</x:v>
      </x:c>
      <x:c r="G3" s="46" t="str">
        <x:v>Статус</x:v>
      </x:c>
      <x:c r="I3" s="50" t="str">
        <x:v>Категория</x:v>
      </x:c>
      <x:c r="J3" s="50" t="str">
        <x:v>Название</x:v>
      </x:c>
      <x:c r="K3" s="50" t="str">
        <x:v>Адрес (план)</x:v>
      </x:c>
      <x:c r="L3" s="50" t="str">
        <x:v>Назначение</x:v>
      </x:c>
      <x:c r="M3" s="50" t="str">
        <x:v>Имя в ПЛК</x:v>
      </x:c>
      <x:c r="N3" s="50" t="str">
        <x:v>Подключение</x:v>
      </x:c>
      <x:c r="O3" s="50" t="str">
        <x:v>Статус</x:v>
      </x:c>
    </x:row>
    <x:row r="4" ht="46" customHeight="1">
      <x:c r="A4" s="18" t="str">
        <x:v>Станок 1</x:v>
      </x:c>
      <x:c r="B4" s="18" t="str">
        <x:v>Открыть роботный люк/Закрыть роботный люк</x:v>
      </x:c>
      <x:c r="C4" s="22" t="str">
        <x:v>%QX256.0</x:v>
      </x:c>
      <x:c r="D4" s="18" t="str">
        <x:v>0 — открыть люк; 1 — закрыть. Уровень удерживается между командами.</x:v>
      </x:c>
      <x:c r="E4" s="18" t="str">
        <x:v>GVL_PHYSICAL_IO.xDoMachine1HatchClosed</x:v>
      </x:c>
      <x:c r="F4" s="18" t="str">
        <x:v>MC522: DO_CH0</x:v>
      </x:c>
      <x:c r="G4" s="55" t="str">
        <x:v>есть в ПЛК</x:v>
      </x:c>
      <x:c r="I4" s="18" t="str">
        <x:v>Станок 1</x:v>
      </x:c>
      <x:c r="J4" s="18" t="str">
        <x:v>Станок готов к работе с роботом</x:v>
      </x:c>
      <x:c r="K4" s="22" t="str">
        <x:v>%IX256.2</x:v>
      </x:c>
      <x:c r="L4" s="18" t="str">
        <x:v>1 — указанное состояние; 1→0 без задержки</x:v>
      </x:c>
      <x:c r="M4" s="18" t="str">
        <x:v>GVL_PHYSICAL_IO.xDiMachine1Ready</x:v>
      </x:c>
      <x:c r="N4" s="18" t="str">
        <x:v>MC522: DI_CH2</x:v>
      </x:c>
      <x:c r="O4" s="55" t="str">
        <x:v>есть в ПЛК</x:v>
      </x:c>
    </x:row>
    <x:row r="5" ht="46" customHeight="1">
      <x:c r="A5" s="19" t="str">
        <x:v>Станок 1</x:v>
      </x:c>
      <x:c r="B5" s="19" t="str">
        <x:v>Открыть замок люка</x:v>
      </x:c>
      <x:c r="C5" s="24" t="str">
        <x:v>%QX256.1</x:v>
      </x:c>
      <x:c r="D5" s="19" t="str">
        <x:v>1 — команда активна</x:v>
      </x:c>
      <x:c r="E5" s="19" t="str">
        <x:v>GVL_PHYSICAL_IO.xDoMachine1HatchUnLock</x:v>
      </x:c>
      <x:c r="F5" s="19" t="str">
        <x:v>MC522: DO_CH1</x:v>
      </x:c>
      <x:c r="G5" s="57" t="str">
        <x:v>есть в ПЛК</x:v>
      </x:c>
      <x:c r="I5" s="19" t="str">
        <x:v>Станок 1</x:v>
      </x:c>
      <x:c r="J5" s="19" t="str">
        <x:v>Авария станка</x:v>
      </x:c>
      <x:c r="K5" s="24" t="str">
        <x:v>%IX256.3</x:v>
      </x:c>
      <x:c r="L5" s="19" t="str">
        <x:v>1 — авария; снимается физически человеком; 0→1 без задержки</x:v>
      </x:c>
      <x:c r="M5" s="19" t="str">
        <x:v>GVL_PHYSICAL_IO.xDiMachine1Alarm</x:v>
      </x:c>
      <x:c r="N5" s="19" t="str">
        <x:v>MC522: DI_CH3</x:v>
      </x:c>
      <x:c r="O5" s="57" t="str">
        <x:v>есть в ПЛК</x:v>
      </x:c>
    </x:row>
    <x:row r="6" ht="42" customHeight="1">
      <x:c r="A6" s="19" t="str">
        <x:v>Станок 1</x:v>
      </x:c>
      <x:c r="B6" s="19" t="str">
        <x:v>Зажать патрон</x:v>
      </x:c>
      <x:c r="C6" s="24" t="str">
        <x:v>%QX256.2</x:v>
      </x:c>
      <x:c r="D6" s="19" t="str">
        <x:v>1 — команда активна</x:v>
      </x:c>
      <x:c r="E6" s="19" t="str">
        <x:v>GVL_PHYSICAL_IO.xDoMachine1ClampChuck</x:v>
      </x:c>
      <x:c r="F6" s="19" t="str">
        <x:v>MC522: DO_CH2</x:v>
      </x:c>
      <x:c r="G6" s="57" t="str">
        <x:v>есть в ПЛК</x:v>
      </x:c>
      <x:c r="I6" s="19" t="str">
        <x:v>Станок 1</x:v>
      </x:c>
      <x:c r="J6" s="19" t="str">
        <x:v>Роботный люк открыт</x:v>
      </x:c>
      <x:c r="K6" s="24" t="str">
        <x:v>%IX256.4</x:v>
      </x:c>
      <x:c r="L6" s="19" t="str">
        <x:v>1 — указанное состояние; 1→0 без задержки</x:v>
      </x:c>
      <x:c r="M6" s="19" t="str">
        <x:v>GVL_PHYSICAL_IO.xDiMachine1DoorOpen</x:v>
      </x:c>
      <x:c r="N6" s="19" t="str">
        <x:v>MC522: DI_CH4</x:v>
      </x:c>
      <x:c r="O6" s="57" t="str">
        <x:v>есть в ПЛК</x:v>
      </x:c>
    </x:row>
    <x:row r="7" ht="42" customHeight="1">
      <x:c r="A7" s="19" t="str">
        <x:v>Станок 1</x:v>
      </x:c>
      <x:c r="B7" s="19" t="str">
        <x:v>Разжать патрон</x:v>
      </x:c>
      <x:c r="C7" s="24" t="str">
        <x:v>%QX256.3</x:v>
      </x:c>
      <x:c r="D7" s="19" t="str">
        <x:v>1 — команда активна</x:v>
      </x:c>
      <x:c r="E7" s="19" t="str">
        <x:v>GVL_PHYSICAL_IO.xDoMachine1UnclampChuck</x:v>
      </x:c>
      <x:c r="F7" s="19" t="str">
        <x:v>MC522: DO_CH3</x:v>
      </x:c>
      <x:c r="G7" s="57" t="str">
        <x:v>есть в ПЛК</x:v>
      </x:c>
      <x:c r="I7" s="19" t="str">
        <x:v>Станок 1</x:v>
      </x:c>
      <x:c r="J7" s="19" t="str">
        <x:v>Роботный люк закрыт</x:v>
      </x:c>
      <x:c r="K7" s="24" t="str">
        <x:v>%IX256.5</x:v>
      </x:c>
      <x:c r="L7" s="19" t="str">
        <x:v>1 — указанное состояние; 1→0 без задержки</x:v>
      </x:c>
      <x:c r="M7" s="19" t="str">
        <x:v>GVL_PHYSICAL_IO.xDiMachine1DoorClosed</x:v>
      </x:c>
      <x:c r="N7" s="19" t="str">
        <x:v>MC522: DI_CH5</x:v>
      </x:c>
      <x:c r="O7" s="57" t="str">
        <x:v>есть в ПЛК</x:v>
      </x:c>
    </x:row>
    <x:row r="8" ht="42" customHeight="1">
      <x:c r="A8" s="19" t="str">
        <x:v>Станок 1</x:v>
      </x:c>
      <x:c r="B8" s="19" t="str">
        <x:v>Запустить обработку</x:v>
      </x:c>
      <x:c r="C8" s="24" t="str">
        <x:v>%QX256.4</x:v>
      </x:c>
      <x:c r="D8" s="19" t="str">
        <x:v>1 — команда активна</x:v>
      </x:c>
      <x:c r="E8" s="19" t="str">
        <x:v>GVL_PHYSICAL_IO.xDoMachine1StartCycle</x:v>
      </x:c>
      <x:c r="F8" s="19" t="str">
        <x:v>MC522: DO_CH4</x:v>
      </x:c>
      <x:c r="G8" s="57" t="str">
        <x:v>есть в ПЛК</x:v>
      </x:c>
      <x:c r="I8" s="19" t="str">
        <x:v>Станок 1</x:v>
      </x:c>
      <x:c r="J8" s="19" t="str">
        <x:v>Замок люка закрыт/открыт</x:v>
      </x:c>
      <x:c r="K8" s="24" t="str">
        <x:v>%IX256.6</x:v>
      </x:c>
      <x:c r="L8" s="19" t="str">
        <x:v>1 — указанное состояние; 1→0 без задержки</x:v>
      </x:c>
      <x:c r="M8" s="19" t="str">
        <x:v>GVL_PHYSICAL_IO.xDiMachine1HatchLocked</x:v>
      </x:c>
      <x:c r="N8" s="19" t="str">
        <x:v>MC522: DI_CH6</x:v>
      </x:c>
      <x:c r="O8" s="57" t="str">
        <x:v>есть в ПЛК</x:v>
      </x:c>
    </x:row>
    <x:row r="9" ht="61" customHeight="1">
      <x:c r="A9" s="19" t="str">
        <x:v>Станок 1</x:v>
      </x:c>
      <x:c r="B9" s="19" t="str">
        <x:v>Резерв — Авария ячейки в станок</x:v>
      </x:c>
      <x:c r="C9" s="24" t="str">
        <x:v>%QX260.4</x:v>
      </x:c>
      <x:c r="D9" s="19" t="str">
        <x:v>Резерв выхода; принудительно FALSE. Локальный сброс влияет только на программный автомат станка.</x:v>
      </x:c>
      <x:c r="E9" s="19" t="str">
        <x:v>GVL_PHYSICAL_IO.xDoMachine1CellAlarmReserve</x:v>
      </x:c>
      <x:c r="F9" s="19" t="str">
        <x:v>GL200-DQ16D #2: CH4</x:v>
      </x:c>
      <x:c r="G9" s="57" t="str">
        <x:v>есть в ПЛК</x:v>
      </x:c>
      <x:c r="I9" s="19" t="str">
        <x:v>Станок 1</x:v>
      </x:c>
      <x:c r="J9" s="19" t="str">
        <x:v>Операторская дверь открыта</x:v>
      </x:c>
      <x:c r="K9" s="24" t="str">
        <x:v>%IX256.7</x:v>
      </x:c>
      <x:c r="L9" s="19" t="str">
        <x:v>1 — указанное состояние; 1→0 без задержки</x:v>
      </x:c>
      <x:c r="M9" s="19" t="str">
        <x:v>GVL_PHYSICAL_IO.xDiMachine1SafetyDoorOpen</x:v>
      </x:c>
      <x:c r="N9" s="19" t="str">
        <x:v>MC522: DI_CH7</x:v>
      </x:c>
      <x:c r="O9" s="57" t="str">
        <x:v>есть в ПЛК</x:v>
      </x:c>
    </x:row>
    <x:row r="10" ht="46" customHeight="1">
      <x:c r="A10" s="19" t="str">
        <x:v>Станок 2</x:v>
      </x:c>
      <x:c r="B10" s="19" t="str">
        <x:v>Открыть роботный люк/Закрыть роботный люк</x:v>
      </x:c>
      <x:c r="C10" s="24" t="str">
        <x:v>%QX256.5</x:v>
      </x:c>
      <x:c r="D10" s="19" t="str">
        <x:v>0 — открыть люк; 1 — закрыть. Уровень удерживается между командами.</x:v>
      </x:c>
      <x:c r="E10" s="19" t="str">
        <x:v>GVL_PHYSICAL_IO.xDoMachine2HatchClosed</x:v>
      </x:c>
      <x:c r="F10" s="19" t="str">
        <x:v>MC522: DO_CH5</x:v>
      </x:c>
      <x:c r="G10" s="57" t="str">
        <x:v>есть в ПЛК</x:v>
      </x:c>
      <x:c r="I10" s="19" t="str">
        <x:v>Станок 1</x:v>
      </x:c>
      <x:c r="J10" s="19" t="str">
        <x:v>Операторская дверь закрыта</x:v>
      </x:c>
      <x:c r="K10" s="24" t="str">
        <x:v>%IX257.0</x:v>
      </x:c>
      <x:c r="L10" s="19" t="str">
        <x:v>1 — указанное состояние; 1→0 без задержки</x:v>
      </x:c>
      <x:c r="M10" s="19" t="str">
        <x:v>GVL_PHYSICAL_IO.xDiMachine1SafetyDoorClosed</x:v>
      </x:c>
      <x:c r="N10" s="19" t="str">
        <x:v>MC522: DI_CH8</x:v>
      </x:c>
      <x:c r="O10" s="57" t="str">
        <x:v>есть в ПЛК</x:v>
      </x:c>
    </x:row>
    <x:row r="11" ht="42" customHeight="1">
      <x:c r="A11" s="19" t="str">
        <x:v>Станок 2</x:v>
      </x:c>
      <x:c r="B11" s="19" t="str">
        <x:v>Открыть замок люка</x:v>
      </x:c>
      <x:c r="C11" s="24" t="str">
        <x:v>%QX256.6</x:v>
      </x:c>
      <x:c r="D11" s="19" t="str">
        <x:v>1 — команда активна</x:v>
      </x:c>
      <x:c r="E11" s="19" t="str">
        <x:v>GVL_PHYSICAL_IO.xDoMachine2HatchUnLock</x:v>
      </x:c>
      <x:c r="F11" s="19" t="str">
        <x:v>MC522: DO_CH6</x:v>
      </x:c>
      <x:c r="G11" s="57" t="str">
        <x:v>есть в ПЛК</x:v>
      </x:c>
      <x:c r="I11" s="19" t="str">
        <x:v>Станок 1</x:v>
      </x:c>
      <x:c r="J11" s="19" t="str">
        <x:v>Патрон зажат</x:v>
      </x:c>
      <x:c r="K11" s="24" t="str">
        <x:v>%IX257.1</x:v>
      </x:c>
      <x:c r="L11" s="19" t="str">
        <x:v>1 — указанное состояние; 1→0 без задержки</x:v>
      </x:c>
      <x:c r="M11" s="19" t="str">
        <x:v>GVL_PHYSICAL_IO.xDiMachine1ChuckClamped</x:v>
      </x:c>
      <x:c r="N11" s="19" t="str">
        <x:v>MC522: DI_CH9</x:v>
      </x:c>
      <x:c r="O11" s="57" t="str">
        <x:v>есть в ПЛК</x:v>
      </x:c>
    </x:row>
    <x:row r="12" ht="42" customHeight="1">
      <x:c r="A12" s="19" t="str">
        <x:v>Станок 2</x:v>
      </x:c>
      <x:c r="B12" s="19" t="str">
        <x:v>Зажать патрон</x:v>
      </x:c>
      <x:c r="C12" s="24" t="str">
        <x:v>%QX256.7</x:v>
      </x:c>
      <x:c r="D12" s="19" t="str">
        <x:v>1 — команда активна</x:v>
      </x:c>
      <x:c r="E12" s="19" t="str">
        <x:v>GVL_PHYSICAL_IO.xDoMachine2ClampChuck</x:v>
      </x:c>
      <x:c r="F12" s="19" t="str">
        <x:v>MC522: DO_CH7</x:v>
      </x:c>
      <x:c r="G12" s="57" t="str">
        <x:v>есть в ПЛК</x:v>
      </x:c>
      <x:c r="I12" s="19" t="str">
        <x:v>Станок 1</x:v>
      </x:c>
      <x:c r="J12" s="19" t="str">
        <x:v>Патрон разжат</x:v>
      </x:c>
      <x:c r="K12" s="24" t="str">
        <x:v>%IX257.2</x:v>
      </x:c>
      <x:c r="L12" s="19" t="str">
        <x:v>1 — указанное состояние; 1→0 без задержки</x:v>
      </x:c>
      <x:c r="M12" s="19" t="str">
        <x:v>GVL_PHYSICAL_IO.xDiMachine1ChuckUnclamped</x:v>
      </x:c>
      <x:c r="N12" s="19" t="str">
        <x:v>MC522: DI_CH10</x:v>
      </x:c>
      <x:c r="O12" s="57" t="str">
        <x:v>есть в ПЛК</x:v>
      </x:c>
    </x:row>
    <x:row r="13" ht="42" customHeight="1">
      <x:c r="A13" s="19" t="str">
        <x:v>Станок 2</x:v>
      </x:c>
      <x:c r="B13" s="19" t="str">
        <x:v>Разжать патрон</x:v>
      </x:c>
      <x:c r="C13" s="24" t="str">
        <x:v>%QX257.0</x:v>
      </x:c>
      <x:c r="D13" s="19" t="str">
        <x:v>1 — команда активна</x:v>
      </x:c>
      <x:c r="E13" s="19" t="str">
        <x:v>GVL_PHYSICAL_IO.xDoMachine2UnclampChuck</x:v>
      </x:c>
      <x:c r="F13" s="19" t="str">
        <x:v>MC522: DO_CH8</x:v>
      </x:c>
      <x:c r="G13" s="57" t="str">
        <x:v>есть в ПЛК</x:v>
      </x:c>
      <x:c r="I13" s="19" t="str">
        <x:v>Станок 1</x:v>
      </x:c>
      <x:c r="J13" s="19" t="str">
        <x:v>Цикл обработки активен</x:v>
      </x:c>
      <x:c r="K13" s="24" t="str">
        <x:v>%IX257.3</x:v>
      </x:c>
      <x:c r="L13" s="19" t="str">
        <x:v>1 — указанное состояние</x:v>
      </x:c>
      <x:c r="M13" s="19" t="str">
        <x:v>GVL_PHYSICAL_IO.xDiMachine1CycleActive</x:v>
      </x:c>
      <x:c r="N13" s="19" t="str">
        <x:v>MC522: DI_CH11</x:v>
      </x:c>
      <x:c r="O13" s="57" t="str">
        <x:v>есть в ПЛК</x:v>
      </x:c>
    </x:row>
    <x:row r="14" ht="42" customHeight="1">
      <x:c r="A14" s="19" t="str">
        <x:v>Станок 2</x:v>
      </x:c>
      <x:c r="B14" s="19" t="str">
        <x:v>Запустить обработку</x:v>
      </x:c>
      <x:c r="C14" s="24" t="str">
        <x:v>%QX257.1</x:v>
      </x:c>
      <x:c r="D14" s="19" t="str">
        <x:v>1 — команда активна</x:v>
      </x:c>
      <x:c r="E14" s="19" t="str">
        <x:v>GVL_PHYSICAL_IO.xDoMachine2StartCycle</x:v>
      </x:c>
      <x:c r="F14" s="19" t="str">
        <x:v>MC522: DO_CH9</x:v>
      </x:c>
      <x:c r="G14" s="57" t="str">
        <x:v>есть в ПЛК</x:v>
      </x:c>
      <x:c r="I14" s="19" t="str">
        <x:v>Станок 1</x:v>
      </x:c>
      <x:c r="J14" s="19" t="str">
        <x:v>Цикл обработки завершён</x:v>
      </x:c>
      <x:c r="K14" s="24" t="str">
        <x:v>%IX257.4</x:v>
      </x:c>
      <x:c r="L14" s="19" t="str">
        <x:v>1 — указанное состояние</x:v>
      </x:c>
      <x:c r="M14" s="19" t="str">
        <x:v>GVL_PHYSICAL_IO.xDiMachine1CycleDone</x:v>
      </x:c>
      <x:c r="N14" s="19" t="str">
        <x:v>MC522: DI_CH12</x:v>
      </x:c>
      <x:c r="O14" s="57" t="str">
        <x:v>есть в ПЛК</x:v>
      </x:c>
    </x:row>
    <x:row r="15" ht="61" customHeight="1">
      <x:c r="A15" s="19" t="str">
        <x:v>Станок 2</x:v>
      </x:c>
      <x:c r="B15" s="19" t="str">
        <x:v>Резерв — Авария ячейки в станок</x:v>
      </x:c>
      <x:c r="C15" s="24" t="str">
        <x:v>%QX260.5</x:v>
      </x:c>
      <x:c r="D15" s="19" t="str">
        <x:v>Резерв выхода; принудительно FALSE. Локальный сброс влияет только на программный автомат станка.</x:v>
      </x:c>
      <x:c r="E15" s="19" t="str">
        <x:v>GVL_PHYSICAL_IO.xDoMachine2CellAlarmReserve</x:v>
      </x:c>
      <x:c r="F15" s="19" t="str">
        <x:v>GL200-DQ16D #2: CH5</x:v>
      </x:c>
      <x:c r="G15" s="57" t="str">
        <x:v>есть в ПЛК</x:v>
      </x:c>
      <x:c r="I15" s="19" t="str">
        <x:v>Станок 2</x:v>
      </x:c>
      <x:c r="J15" s="19" t="str">
        <x:v>Станок готов к работе с роботом</x:v>
      </x:c>
      <x:c r="K15" s="24" t="str">
        <x:v>%IX257.5</x:v>
      </x:c>
      <x:c r="L15" s="19" t="str">
        <x:v>1 — указанное состояние; 1→0 без задержки</x:v>
      </x:c>
      <x:c r="M15" s="19" t="str">
        <x:v>GVL_PHYSICAL_IO.xDiMachine2Ready</x:v>
      </x:c>
      <x:c r="N15" s="19" t="str">
        <x:v>MC522: DI_CH13</x:v>
      </x:c>
      <x:c r="O15" s="57" t="str">
        <x:v>есть в ПЛК</x:v>
      </x:c>
    </x:row>
    <x:row r="16" ht="46" customHeight="1">
      <x:c r="A16" s="19" t="str">
        <x:v>Станок 3</x:v>
      </x:c>
      <x:c r="B16" s="19" t="str">
        <x:v>Открыть роботный люк/Закрыть роботный люк</x:v>
      </x:c>
      <x:c r="C16" s="24" t="str">
        <x:v>%QX257.2</x:v>
      </x:c>
      <x:c r="D16" s="19" t="str">
        <x:v>0 — открыть люк; 1 — закрыть. Уровень удерживается между командами.</x:v>
      </x:c>
      <x:c r="E16" s="19" t="str">
        <x:v>GVL_PHYSICAL_IO.xDoMachine3HatchClosed</x:v>
      </x:c>
      <x:c r="F16" s="19" t="str">
        <x:v>MC522: DO_CH10</x:v>
      </x:c>
      <x:c r="G16" s="57" t="str">
        <x:v>есть в ПЛК</x:v>
      </x:c>
      <x:c r="I16" s="19" t="str">
        <x:v>Станок 2</x:v>
      </x:c>
      <x:c r="J16" s="19" t="str">
        <x:v>Авария станка</x:v>
      </x:c>
      <x:c r="K16" s="24" t="str">
        <x:v>%IX257.6</x:v>
      </x:c>
      <x:c r="L16" s="19" t="str">
        <x:v>1 — авария; снимается физически человеком; 0→1 без задержки</x:v>
      </x:c>
      <x:c r="M16" s="19" t="str">
        <x:v>GVL_PHYSICAL_IO.xDiMachine2Alarm</x:v>
      </x:c>
      <x:c r="N16" s="19" t="str">
        <x:v>MC522: DI_CH14</x:v>
      </x:c>
      <x:c r="O16" s="57" t="str">
        <x:v>есть в ПЛК</x:v>
      </x:c>
    </x:row>
    <x:row r="17" ht="42" customHeight="1">
      <x:c r="A17" s="19" t="str">
        <x:v>Станок 3</x:v>
      </x:c>
      <x:c r="B17" s="19" t="str">
        <x:v>Открыть замок люка</x:v>
      </x:c>
      <x:c r="C17" s="24" t="str">
        <x:v>%QX257.3</x:v>
      </x:c>
      <x:c r="D17" s="19" t="str">
        <x:v>1 — команда активна</x:v>
      </x:c>
      <x:c r="E17" s="19" t="str">
        <x:v>GVL_PHYSICAL_IO.xDoMachine3HatchUnLock</x:v>
      </x:c>
      <x:c r="F17" s="19" t="str">
        <x:v>MC522: DO_CH11</x:v>
      </x:c>
      <x:c r="G17" s="57" t="str">
        <x:v>есть в ПЛК</x:v>
      </x:c>
      <x:c r="I17" s="19" t="str">
        <x:v>Станок 2</x:v>
      </x:c>
      <x:c r="J17" s="19" t="str">
        <x:v>Роботный люк открыт</x:v>
      </x:c>
      <x:c r="K17" s="24" t="str">
        <x:v>%IX257.7</x:v>
      </x:c>
      <x:c r="L17" s="19" t="str">
        <x:v>1 — указанное состояние; 1→0 без задержки</x:v>
      </x:c>
      <x:c r="M17" s="19" t="str">
        <x:v>GVL_PHYSICAL_IO.xDiMachine2DoorOpen</x:v>
      </x:c>
      <x:c r="N17" s="19" t="str">
        <x:v>MC522: DI_CH15</x:v>
      </x:c>
      <x:c r="O17" s="57" t="str">
        <x:v>есть в ПЛК</x:v>
      </x:c>
    </x:row>
    <x:row r="18" ht="42" customHeight="1">
      <x:c r="A18" s="19" t="str">
        <x:v>Станок 3</x:v>
      </x:c>
      <x:c r="B18" s="19" t="str">
        <x:v>Зажать патрон</x:v>
      </x:c>
      <x:c r="C18" s="24" t="str">
        <x:v>%QX257.4</x:v>
      </x:c>
      <x:c r="D18" s="19" t="str">
        <x:v>1 — команда активна</x:v>
      </x:c>
      <x:c r="E18" s="19" t="str">
        <x:v>GVL_PHYSICAL_IO.xDoMachine3ClampChuck</x:v>
      </x:c>
      <x:c r="F18" s="19" t="str">
        <x:v>MC522: DO_CH12</x:v>
      </x:c>
      <x:c r="G18" s="57" t="str">
        <x:v>есть в ПЛК</x:v>
      </x:c>
      <x:c r="I18" s="19" t="str">
        <x:v>Станок 2</x:v>
      </x:c>
      <x:c r="J18" s="19" t="str">
        <x:v>Роботный люк закрыт</x:v>
      </x:c>
      <x:c r="K18" s="24" t="str">
        <x:v>%IX258.0</x:v>
      </x:c>
      <x:c r="L18" s="19" t="str">
        <x:v>1 — указанное состояние; 1→0 без задержки</x:v>
      </x:c>
      <x:c r="M18" s="19" t="str">
        <x:v>GVL_PHYSICAL_IO.xDiMachine2DoorClosed</x:v>
      </x:c>
      <x:c r="N18" s="19" t="str">
        <x:v>GL200-DI32 #1: CH0</x:v>
      </x:c>
      <x:c r="O18" s="57" t="str">
        <x:v>есть в ПЛК</x:v>
      </x:c>
    </x:row>
    <x:row r="19" ht="42" customHeight="1">
      <x:c r="A19" s="19" t="str">
        <x:v>Станок 3</x:v>
      </x:c>
      <x:c r="B19" s="19" t="str">
        <x:v>Разжать патрон</x:v>
      </x:c>
      <x:c r="C19" s="24" t="str">
        <x:v>%QX257.5</x:v>
      </x:c>
      <x:c r="D19" s="19" t="str">
        <x:v>1 — команда активна</x:v>
      </x:c>
      <x:c r="E19" s="19" t="str">
        <x:v>GVL_PHYSICAL_IO.xDoMachine3UnclampChuck</x:v>
      </x:c>
      <x:c r="F19" s="19" t="str">
        <x:v>MC522: DO_CH13</x:v>
      </x:c>
      <x:c r="G19" s="57" t="str">
        <x:v>есть в ПЛК</x:v>
      </x:c>
      <x:c r="I19" s="19" t="str">
        <x:v>Станок 2</x:v>
      </x:c>
      <x:c r="J19" s="19" t="str">
        <x:v>Замок люка закрыт/открыт</x:v>
      </x:c>
      <x:c r="K19" s="24" t="str">
        <x:v>%IX258.1</x:v>
      </x:c>
      <x:c r="L19" s="19" t="str">
        <x:v>1 — указанное состояние; 1→0 без задержки</x:v>
      </x:c>
      <x:c r="M19" s="19" t="str">
        <x:v>GVL_PHYSICAL_IO.xDiMachine2HatchLocked</x:v>
      </x:c>
      <x:c r="N19" s="19" t="str">
        <x:v>GL200-DI32 #1: CH1</x:v>
      </x:c>
      <x:c r="O19" s="57" t="str">
        <x:v>есть в ПЛК</x:v>
      </x:c>
    </x:row>
    <x:row r="20" ht="42" customHeight="1">
      <x:c r="A20" s="19" t="str">
        <x:v>Станок 3</x:v>
      </x:c>
      <x:c r="B20" s="19" t="str">
        <x:v>Запустить обработку</x:v>
      </x:c>
      <x:c r="C20" s="24" t="str">
        <x:v>%QX257.6</x:v>
      </x:c>
      <x:c r="D20" s="19" t="str">
        <x:v>1 — команда активна</x:v>
      </x:c>
      <x:c r="E20" s="19" t="str">
        <x:v>GVL_PHYSICAL_IO.xDoMachine3StartCycle</x:v>
      </x:c>
      <x:c r="F20" s="19" t="str">
        <x:v>MC522: DO_CH14</x:v>
      </x:c>
      <x:c r="G20" s="57" t="str">
        <x:v>есть в ПЛК</x:v>
      </x:c>
      <x:c r="I20" s="19" t="str">
        <x:v>Станок 2</x:v>
      </x:c>
      <x:c r="J20" s="19" t="str">
        <x:v>Операторская дверь открыта</x:v>
      </x:c>
      <x:c r="K20" s="24" t="str">
        <x:v>%IX258.2</x:v>
      </x:c>
      <x:c r="L20" s="19" t="str">
        <x:v>1 — указанное состояние; 1→0 без задержки</x:v>
      </x:c>
      <x:c r="M20" s="19" t="str">
        <x:v>GVL_PHYSICAL_IO.xDiMachine2SafetyDoorOpen</x:v>
      </x:c>
      <x:c r="N20" s="19" t="str">
        <x:v>GL200-DI32 #1: CH2</x:v>
      </x:c>
      <x:c r="O20" s="57" t="str">
        <x:v>есть в ПЛК</x:v>
      </x:c>
    </x:row>
    <x:row r="21" ht="61" customHeight="1">
      <x:c r="A21" s="19" t="str">
        <x:v>Станок 3</x:v>
      </x:c>
      <x:c r="B21" s="19" t="str">
        <x:v>Резерв — Авария ячейки в станок</x:v>
      </x:c>
      <x:c r="C21" s="24" t="str">
        <x:v>%QX260.6</x:v>
      </x:c>
      <x:c r="D21" s="19" t="str">
        <x:v>Резерв выхода; принудительно FALSE. Локальный сброс влияет только на программный автомат станка.</x:v>
      </x:c>
      <x:c r="E21" s="19" t="str">
        <x:v>GVL_PHYSICAL_IO.xDoMachine3CellAlarmReserve</x:v>
      </x:c>
      <x:c r="F21" s="19" t="str">
        <x:v>GL200-DQ16D #2: CH6</x:v>
      </x:c>
      <x:c r="G21" s="57" t="str">
        <x:v>есть в ПЛК</x:v>
      </x:c>
      <x:c r="I21" s="19" t="str">
        <x:v>Станок 2</x:v>
      </x:c>
      <x:c r="J21" s="19" t="str">
        <x:v>Операторская дверь закрыта</x:v>
      </x:c>
      <x:c r="K21" s="24" t="str">
        <x:v>%IX258.3</x:v>
      </x:c>
      <x:c r="L21" s="19" t="str">
        <x:v>1 — указанное состояние; 1→0 без задержки</x:v>
      </x:c>
      <x:c r="M21" s="19" t="str">
        <x:v>GVL_PHYSICAL_IO.xDiMachine2SafetyDoorClosed</x:v>
      </x:c>
      <x:c r="N21" s="19" t="str">
        <x:v>GL200-DI32 #1: CH3</x:v>
      </x:c>
      <x:c r="O21" s="57" t="str">
        <x:v>есть в ПЛК</x:v>
      </x:c>
    </x:row>
    <x:row r="22" ht="46" customHeight="1">
      <x:c r="A22" s="19" t="str">
        <x:v>Захват</x:v>
      </x:c>
      <x:c r="B22" s="19" t="str">
        <x:v>Открыть захват 1 / Закрыть захват 1</x:v>
      </x:c>
      <x:c r="C22" s="24" t="str">
        <x:v>%QX257.7</x:v>
      </x:c>
      <x:c r="D22" s="19" t="str">
        <x:v>0 — закрыть; 1 — открыть; используется в SoftMotion NORMAL</x:v>
      </x:c>
      <x:c r="E22" s="19" t="str">
        <x:v>GVL_PHYSICAL_IO.xDoGripper1Open</x:v>
      </x:c>
      <x:c r="F22" s="19" t="str">
        <x:v>MC522: DO_CH15</x:v>
      </x:c>
      <x:c r="G22" s="57" t="str">
        <x:v>есть в ПЛК</x:v>
      </x:c>
      <x:c r="I22" s="19" t="str">
        <x:v>Станок 2</x:v>
      </x:c>
      <x:c r="J22" s="19" t="str">
        <x:v>Патрон зажат</x:v>
      </x:c>
      <x:c r="K22" s="24" t="str">
        <x:v>%IX258.4</x:v>
      </x:c>
      <x:c r="L22" s="19" t="str">
        <x:v>1 — указанное состояние; 1→0 без задержки</x:v>
      </x:c>
      <x:c r="M22" s="19" t="str">
        <x:v>GVL_PHYSICAL_IO.xDiMachine2ChuckClamped</x:v>
      </x:c>
      <x:c r="N22" s="19" t="str">
        <x:v>GL200-DI32 #1: CH4</x:v>
      </x:c>
      <x:c r="O22" s="57" t="str">
        <x:v>есть в ПЛК</x:v>
      </x:c>
    </x:row>
    <x:row r="23" ht="46" customHeight="1">
      <x:c r="A23" s="19" t="str">
        <x:v>Захват</x:v>
      </x:c>
      <x:c r="B23" s="19" t="str">
        <x:v>Открыть захват 2 / Закрыть захват 2</x:v>
      </x:c>
      <x:c r="C23" s="24" t="str">
        <x:v>%QX258.0</x:v>
      </x:c>
      <x:c r="D23" s="19" t="str">
        <x:v>0 — закрыть; 1 — открыть; используется в SoftMotion NORMAL</x:v>
      </x:c>
      <x:c r="E23" s="19" t="str">
        <x:v>GVL_PHYSICAL_IO.xDoGripper2Open</x:v>
      </x:c>
      <x:c r="F23" s="19" t="str">
        <x:v>GL200-DQ16D #1: CH0</x:v>
      </x:c>
      <x:c r="G23" s="57" t="str">
        <x:v>есть в ПЛК</x:v>
      </x:c>
      <x:c r="I23" s="19" t="str">
        <x:v>Станок 2</x:v>
      </x:c>
      <x:c r="J23" s="19" t="str">
        <x:v>Патрон разжат</x:v>
      </x:c>
      <x:c r="K23" s="24" t="str">
        <x:v>%IX258.5</x:v>
      </x:c>
      <x:c r="L23" s="19" t="str">
        <x:v>1 — указанное состояние; 1→0 без задержки</x:v>
      </x:c>
      <x:c r="M23" s="19" t="str">
        <x:v>GVL_PHYSICAL_IO.xDiMachine2ChuckUnclamped</x:v>
      </x:c>
      <x:c r="N23" s="19" t="str">
        <x:v>GL200-DI32 #1: CH5</x:v>
      </x:c>
      <x:c r="O23" s="57" t="str">
        <x:v>есть в ПЛК</x:v>
      </x:c>
    </x:row>
    <x:row r="24" ht="46" customHeight="1">
      <x:c r="A24" s="19" t="str">
        <x:v>Захват</x:v>
      </x:c>
      <x:c r="B24" s="19" t="str">
        <x:v>Повернуть к заготовке / Повернуть к детали</x:v>
      </x:c>
      <x:c r="C24" s="24" t="str">
        <x:v>%QX258.1</x:v>
      </x:c>
      <x:c r="D24" s="19" t="str">
        <x:v>0 — к заготовке; 1 — к детали; используется в SoftMotion NORMAL</x:v>
      </x:c>
      <x:c r="E24" s="19" t="str">
        <x:v>GVL_PHYSICAL_IO.xDoRotateToDetail</x:v>
      </x:c>
      <x:c r="F24" s="19" t="str">
        <x:v>GL200-DQ16D #1: CH1</x:v>
      </x:c>
      <x:c r="G24" s="57" t="str">
        <x:v>есть в ПЛК</x:v>
      </x:c>
      <x:c r="I24" s="19" t="str">
        <x:v>Станок 2</x:v>
      </x:c>
      <x:c r="J24" s="19" t="str">
        <x:v>Цикл обработки активен</x:v>
      </x:c>
      <x:c r="K24" s="24" t="str">
        <x:v>%IX258.6</x:v>
      </x:c>
      <x:c r="L24" s="19" t="str">
        <x:v>1 — указанное состояние</x:v>
      </x:c>
      <x:c r="M24" s="19" t="str">
        <x:v>GVL_PHYSICAL_IO.xDiMachine2CycleActive</x:v>
      </x:c>
      <x:c r="N24" s="19" t="str">
        <x:v>GL200-DI32 #1: CH6</x:v>
      </x:c>
      <x:c r="O24" s="57" t="str">
        <x:v>есть в ПЛК</x:v>
      </x:c>
    </x:row>
    <x:row r="25" ht="42" customHeight="1">
      <x:c r="A25" s="19" t="str">
        <x:v>Забор, дверь 1</x:v>
      </x:c>
      <x:c r="B25" s="19" t="str">
        <x:v>Открыть замок двери 1</x:v>
      </x:c>
      <x:c r="C25" s="24" t="str">
        <x:v>%QX258.2</x:v>
      </x:c>
      <x:c r="D25" s="19" t="str">
        <x:v>1 — разблокировать замок двери</x:v>
      </x:c>
      <x:c r="E25" s="19" t="str">
        <x:v>GVL_PHYSICAL_IO.xDoDoor1Unlock</x:v>
      </x:c>
      <x:c r="F25" s="19" t="str">
        <x:v>GL200-DQ16D #1: CH2</x:v>
      </x:c>
      <x:c r="G25" s="57" t="str">
        <x:v>есть в ПЛК</x:v>
      </x:c>
      <x:c r="I25" s="19" t="str">
        <x:v>Станок 2</x:v>
      </x:c>
      <x:c r="J25" s="19" t="str">
        <x:v>Цикл обработки завершён</x:v>
      </x:c>
      <x:c r="K25" s="24" t="str">
        <x:v>%IX258.7</x:v>
      </x:c>
      <x:c r="L25" s="19" t="str">
        <x:v>1 — указанное состояние</x:v>
      </x:c>
      <x:c r="M25" s="19" t="str">
        <x:v>GVL_PHYSICAL_IO.xDiMachine2CycleDone</x:v>
      </x:c>
      <x:c r="N25" s="19" t="str">
        <x:v>GL200-DI32 #1: CH7</x:v>
      </x:c>
      <x:c r="O25" s="57" t="str">
        <x:v>есть в ПЛК</x:v>
      </x:c>
    </x:row>
    <x:row r="26" ht="42" customHeight="1">
      <x:c r="A26" s="19" t="str">
        <x:v>Забор, дверь 2</x:v>
      </x:c>
      <x:c r="B26" s="19" t="str">
        <x:v>Открыть замок двери 2</x:v>
      </x:c>
      <x:c r="C26" s="24" t="str">
        <x:v>%QX258.3</x:v>
      </x:c>
      <x:c r="D26" s="19" t="str">
        <x:v>1 — разблокировать замок двери</x:v>
      </x:c>
      <x:c r="E26" s="19" t="str">
        <x:v>GVL_PHYSICAL_IO.xDoDoor2Unlock</x:v>
      </x:c>
      <x:c r="F26" s="19" t="str">
        <x:v>GL200-DQ16D #1: CH3</x:v>
      </x:c>
      <x:c r="G26" s="57" t="str">
        <x:v>есть в ПЛК</x:v>
      </x:c>
      <x:c r="I26" s="19" t="str">
        <x:v>Станок 3</x:v>
      </x:c>
      <x:c r="J26" s="19" t="str">
        <x:v>Станок готов к работе с роботом</x:v>
      </x:c>
      <x:c r="K26" s="24" t="str">
        <x:v>%IX259.0</x:v>
      </x:c>
      <x:c r="L26" s="19" t="str">
        <x:v>1 — указанное состояние; 1→0 без задержки</x:v>
      </x:c>
      <x:c r="M26" s="19" t="str">
        <x:v>GVL_PHYSICAL_IO.xDiMachine3Ready</x:v>
      </x:c>
      <x:c r="N26" s="19" t="str">
        <x:v>GL200-DI32 #1: CH8</x:v>
      </x:c>
      <x:c r="O26" s="57" t="str">
        <x:v>есть в ПЛК</x:v>
      </x:c>
    </x:row>
    <x:row r="27" ht="46" customHeight="1">
      <x:c r="A27" s="19" t="str">
        <x:v>Забор, дверь 3</x:v>
      </x:c>
      <x:c r="B27" s="19" t="str">
        <x:v>Открыть замок двери 3</x:v>
      </x:c>
      <x:c r="C27" s="24" t="str">
        <x:v>%QX258.4</x:v>
      </x:c>
      <x:c r="D27" s="19" t="str">
        <x:v>1 — разблокировать замок двери</x:v>
      </x:c>
      <x:c r="E27" s="19" t="str">
        <x:v>GVL_PHYSICAL_IO.xDoDoor3Unlock</x:v>
      </x:c>
      <x:c r="F27" s="19" t="str">
        <x:v>GL200-DQ16D #1: CH4</x:v>
      </x:c>
      <x:c r="G27" s="57" t="str">
        <x:v>есть в ПЛК</x:v>
      </x:c>
      <x:c r="I27" s="19" t="str">
        <x:v>Станок 3</x:v>
      </x:c>
      <x:c r="J27" s="19" t="str">
        <x:v>Авария станка</x:v>
      </x:c>
      <x:c r="K27" s="24" t="str">
        <x:v>%IX259.1</x:v>
      </x:c>
      <x:c r="L27" s="19" t="str">
        <x:v>1 — авария; снимается физически человеком; 0→1 без задержки</x:v>
      </x:c>
      <x:c r="M27" s="19" t="str">
        <x:v>GVL_PHYSICAL_IO.xDiMachine3Alarm</x:v>
      </x:c>
      <x:c r="N27" s="19" t="str">
        <x:v>GL200-DI32 #1: CH9</x:v>
      </x:c>
      <x:c r="O27" s="57" t="str">
        <x:v>есть в ПЛК</x:v>
      </x:c>
    </x:row>
    <x:row r="28" ht="42" customHeight="1">
      <x:c r="A28" s="19" t="str">
        <x:v>Забор, дверь 4</x:v>
      </x:c>
      <x:c r="B28" s="19" t="str">
        <x:v>Открыть замок двери 4</x:v>
      </x:c>
      <x:c r="C28" s="24" t="str">
        <x:v>%QX258.5</x:v>
      </x:c>
      <x:c r="D28" s="19" t="str">
        <x:v>1 — разблокировать замок двери</x:v>
      </x:c>
      <x:c r="E28" s="19" t="str">
        <x:v>GVL_PHYSICAL_IO.xDoDoor4Unlock</x:v>
      </x:c>
      <x:c r="F28" s="19" t="str">
        <x:v>GL200-DQ16D #1: CH5</x:v>
      </x:c>
      <x:c r="G28" s="57" t="str">
        <x:v>есть в ПЛК</x:v>
      </x:c>
      <x:c r="I28" s="19" t="str">
        <x:v>Станок 3</x:v>
      </x:c>
      <x:c r="J28" s="19" t="str">
        <x:v>Роботный люк открыт</x:v>
      </x:c>
      <x:c r="K28" s="24" t="str">
        <x:v>%IX259.2</x:v>
      </x:c>
      <x:c r="L28" s="19" t="str">
        <x:v>1 — указанное состояние; 1→0 без задержки</x:v>
      </x:c>
      <x:c r="M28" s="19" t="str">
        <x:v>GVL_PHYSICAL_IO.xDiMachine3DoorOpen</x:v>
      </x:c>
      <x:c r="N28" s="19" t="str">
        <x:v>GL200-DI32 #1: CH10</x:v>
      </x:c>
      <x:c r="O28" s="57" t="str">
        <x:v>есть в ПЛК</x:v>
      </x:c>
    </x:row>
    <x:row r="29" ht="46" customHeight="1">
      <x:c r="A29" s="19" t="str">
        <x:v>Цепь безопасности</x:v>
      </x:c>
      <x:c r="B29" s="19" t="str">
        <x:v>Сигнал сброса на реле безопасности 1</x:v>
      </x:c>
      <x:c r="C29" s="24" t="str">
        <x:v>%QX258.6</x:v>
      </x:c>
      <x:c r="D29" s="19" t="str">
        <x:v>Импульс сброса реле безопасности; не сброс физической аварии станка</x:v>
      </x:c>
      <x:c r="E29" s="19" t="str">
        <x:v>GVL_PHYSICAL_IO.xDoSafetyRelayReset</x:v>
      </x:c>
      <x:c r="F29" s="19" t="str">
        <x:v>GL200-DQ16D #1: CH6</x:v>
      </x:c>
      <x:c r="G29" s="57" t="str">
        <x:v>есть в ПЛК</x:v>
      </x:c>
      <x:c r="I29" s="19" t="str">
        <x:v>Станок 3</x:v>
      </x:c>
      <x:c r="J29" s="19" t="str">
        <x:v>Роботный люк закрыт</x:v>
      </x:c>
      <x:c r="K29" s="24" t="str">
        <x:v>%IX259.3</x:v>
      </x:c>
      <x:c r="L29" s="19" t="str">
        <x:v>1 — указанное состояние; 1→0 без задержки</x:v>
      </x:c>
      <x:c r="M29" s="19" t="str">
        <x:v>GVL_PHYSICAL_IO.xDiMachine3DoorClosed</x:v>
      </x:c>
      <x:c r="N29" s="19" t="str">
        <x:v>GL200-DI32 #1: CH11</x:v>
      </x:c>
      <x:c r="O29" s="57" t="str">
        <x:v>есть в ПЛК</x:v>
      </x:c>
    </x:row>
    <x:row r="30" ht="46" customHeight="1">
      <x:c r="A30" s="19" t="str">
        <x:v>Светофор</x:v>
      </x:c>
      <x:c r="B30" s="19" t="str">
        <x:v>Зеленый цвет</x:v>
      </x:c>
      <x:c r="C30" s="24" t="str">
        <x:v>%QX258.7</x:v>
      </x:c>
      <x:c r="D30" s="19" t="str">
        <x:v>Уровень с миганием из PLC_PRG.RunSignalTower</x:v>
      </x:c>
      <x:c r="E30" s="19" t="str">
        <x:v>GVL_PHYSICAL_IO.xDoSignalTowerGreenOutput</x:v>
      </x:c>
      <x:c r="F30" s="19" t="str">
        <x:v>GL200-DQ16D #1: CH7</x:v>
      </x:c>
      <x:c r="G30" s="57" t="str">
        <x:v>есть в ПЛК</x:v>
      </x:c>
      <x:c r="I30" s="19" t="str">
        <x:v>Станок 3</x:v>
      </x:c>
      <x:c r="J30" s="19" t="str">
        <x:v>Замок люка закрыт/открыт</x:v>
      </x:c>
      <x:c r="K30" s="24" t="str">
        <x:v>%IX259.4</x:v>
      </x:c>
      <x:c r="L30" s="19" t="str">
        <x:v>1 — указанное состояние; 1→0 без задержки</x:v>
      </x:c>
      <x:c r="M30" s="19" t="str">
        <x:v>GVL_PHYSICAL_IO.xDiMachine3HatchLocked</x:v>
      </x:c>
      <x:c r="N30" s="19" t="str">
        <x:v>GL200-DI32 #1: CH12</x:v>
      </x:c>
      <x:c r="O30" s="57" t="str">
        <x:v>есть в ПЛК</x:v>
      </x:c>
    </x:row>
    <x:row r="31" ht="46" customHeight="1">
      <x:c r="A31" s="19" t="str">
        <x:v>Светофор</x:v>
      </x:c>
      <x:c r="B31" s="19" t="str">
        <x:v>Желтый цвет</x:v>
      </x:c>
      <x:c r="C31" s="24" t="str">
        <x:v>%QX259.0</x:v>
      </x:c>
      <x:c r="D31" s="19" t="str">
        <x:v>Уровень с миганием из PLC_PRG.RunSignalTower</x:v>
      </x:c>
      <x:c r="E31" s="19" t="str">
        <x:v>GVL_PHYSICAL_IO.xDoSignalTowerAmberOutput</x:v>
      </x:c>
      <x:c r="F31" s="19" t="str">
        <x:v>GL200-DQ16D #1: CH8</x:v>
      </x:c>
      <x:c r="G31" s="57" t="str">
        <x:v>есть в ПЛК</x:v>
      </x:c>
      <x:c r="I31" s="19" t="str">
        <x:v>Станок 3</x:v>
      </x:c>
      <x:c r="J31" s="19" t="str">
        <x:v>Операторская дверь открыта</x:v>
      </x:c>
      <x:c r="K31" s="24" t="str">
        <x:v>%IX259.5</x:v>
      </x:c>
      <x:c r="L31" s="19" t="str">
        <x:v>1 — указанное состояние; 1→0 без задержки</x:v>
      </x:c>
      <x:c r="M31" s="19" t="str">
        <x:v>GVL_PHYSICAL_IO.xDiMachine3SafetyDoorOpen</x:v>
      </x:c>
      <x:c r="N31" s="19" t="str">
        <x:v>GL200-DI32 #1: CH13</x:v>
      </x:c>
      <x:c r="O31" s="57" t="str">
        <x:v>есть в ПЛК</x:v>
      </x:c>
    </x:row>
    <x:row r="32" ht="46" customHeight="1">
      <x:c r="A32" s="19" t="str">
        <x:v>Светофор</x:v>
      </x:c>
      <x:c r="B32" s="19" t="str">
        <x:v>Красный цвет</x:v>
      </x:c>
      <x:c r="C32" s="24" t="str">
        <x:v>%QX259.1</x:v>
      </x:c>
      <x:c r="D32" s="19" t="str">
        <x:v>Уровень с миганием из PLC_PRG.RunSignalTower</x:v>
      </x:c>
      <x:c r="E32" s="19" t="str">
        <x:v>GVL_PHYSICAL_IO.xDoSignalTowerRedOutput</x:v>
      </x:c>
      <x:c r="F32" s="19" t="str">
        <x:v>GL200-DQ16D #1: CH9</x:v>
      </x:c>
      <x:c r="G32" s="57" t="str">
        <x:v>есть в ПЛК</x:v>
      </x:c>
      <x:c r="I32" s="19" t="str">
        <x:v>Станок 3</x:v>
      </x:c>
      <x:c r="J32" s="19" t="str">
        <x:v>Операторская дверь закрыта</x:v>
      </x:c>
      <x:c r="K32" s="24" t="str">
        <x:v>%IX259.6</x:v>
      </x:c>
      <x:c r="L32" s="19" t="str">
        <x:v>1 — указанное состояние; 1→0 без задержки</x:v>
      </x:c>
      <x:c r="M32" s="19" t="str">
        <x:v>GVL_PHYSICAL_IO.xDiMachine3SafetyDoorClosed</x:v>
      </x:c>
      <x:c r="N32" s="19" t="str">
        <x:v>GL200-DI32 #1: CH14</x:v>
      </x:c>
      <x:c r="O32" s="57" t="str">
        <x:v>есть в ПЛК</x:v>
      </x:c>
    </x:row>
    <x:row r="33" ht="61" customHeight="1">
      <x:c r="A33" s="19" t="str">
        <x:v>Ячейка</x:v>
      </x:c>
      <x:c r="B33" s="19" t="str">
        <x:v>Гудок</x:v>
      </x:c>
      <x:c r="C33" s="24" t="str">
        <x:v>%QX260.7</x:v>
      </x:c>
      <x:c r="D33" s="19" t="str">
        <x:v>Короткий звук при новой аварии; 0–60 с через настройки ячейки, по умолчанию 2 с; 0 отключает звук.</x:v>
      </x:c>
      <x:c r="E33" s="19" t="str">
        <x:v>GVL_PHYSICAL_IO.xDoCellAlarmHorn</x:v>
      </x:c>
      <x:c r="F33" s="19" t="str">
        <x:v>GL200-DQ16D #2: CH7</x:v>
      </x:c>
      <x:c r="G33" s="57" t="str">
        <x:v>есть в ПЛК</x:v>
      </x:c>
      <x:c r="I33" s="19" t="str">
        <x:v>Станок 3</x:v>
      </x:c>
      <x:c r="J33" s="19" t="str">
        <x:v>Патрон зажат</x:v>
      </x:c>
      <x:c r="K33" s="24" t="str">
        <x:v>%IX259.7</x:v>
      </x:c>
      <x:c r="L33" s="19" t="str">
        <x:v>1 — указанное состояние; 1→0 без задержки</x:v>
      </x:c>
      <x:c r="M33" s="19" t="str">
        <x:v>GVL_PHYSICAL_IO.xDiMachine3ChuckClamped</x:v>
      </x:c>
      <x:c r="N33" s="19" t="str">
        <x:v>GL200-DI32 #1: CH15</x:v>
      </x:c>
      <x:c r="O33" s="57" t="str">
        <x:v>есть в ПЛК</x:v>
      </x:c>
    </x:row>
    <x:row r="34" ht="42" customHeight="1">
      <x:c r="A34" s="19" t="str">
        <x:v>Забор, дверь 1</x:v>
      </x:c>
      <x:c r="B34" s="19" t="str">
        <x:v>Световая индикация кнопки 1</x:v>
      </x:c>
      <x:c r="C34" s="24" t="str">
        <x:v>%QX259.2</x:v>
      </x:c>
      <x:c r="D34" s="19" t="str">
        <x:v>Готовый уровень индикации из FB_CELL_SAFETY</x:v>
      </x:c>
      <x:c r="E34" s="19" t="str">
        <x:v>GVL_PHYSICAL_IO.xDoDoor1ButtonLamp</x:v>
      </x:c>
      <x:c r="F34" s="19" t="str">
        <x:v>GL200-DQ16D #1: CH10</x:v>
      </x:c>
      <x:c r="G34" s="57" t="str">
        <x:v>есть в ПЛК</x:v>
      </x:c>
      <x:c r="I34" s="19" t="str">
        <x:v>Станок 3</x:v>
      </x:c>
      <x:c r="J34" s="19" t="str">
        <x:v>Патрон разжат</x:v>
      </x:c>
      <x:c r="K34" s="24" t="str">
        <x:v>%IX260.0</x:v>
      </x:c>
      <x:c r="L34" s="19" t="str">
        <x:v>1 — указанное состояние; 1→0 без задержки</x:v>
      </x:c>
      <x:c r="M34" s="19" t="str">
        <x:v>GVL_PHYSICAL_IO.xDiMachine3ChuckUnclamped</x:v>
      </x:c>
      <x:c r="N34" s="19" t="str">
        <x:v>GL200-DI32 #1: CH16</x:v>
      </x:c>
      <x:c r="O34" s="57" t="str">
        <x:v>есть в ПЛК</x:v>
      </x:c>
    </x:row>
    <x:row r="35" ht="42" customHeight="1">
      <x:c r="A35" s="19" t="str">
        <x:v>Забор, дверь 2</x:v>
      </x:c>
      <x:c r="B35" s="19" t="str">
        <x:v>Световая индикация кнопки 2</x:v>
      </x:c>
      <x:c r="C35" s="24" t="str">
        <x:v>%QX259.3</x:v>
      </x:c>
      <x:c r="D35" s="19" t="str">
        <x:v>Готовый уровень индикации из FB_CELL_SAFETY</x:v>
      </x:c>
      <x:c r="E35" s="19" t="str">
        <x:v>GVL_PHYSICAL_IO.xDoDoor2ButtonLamp</x:v>
      </x:c>
      <x:c r="F35" s="19" t="str">
        <x:v>GL200-DQ16D #1: CH11</x:v>
      </x:c>
      <x:c r="G35" s="57" t="str">
        <x:v>есть в ПЛК</x:v>
      </x:c>
      <x:c r="I35" s="19" t="str">
        <x:v>Станок 3</x:v>
      </x:c>
      <x:c r="J35" s="19" t="str">
        <x:v>Цикл обработки активен</x:v>
      </x:c>
      <x:c r="K35" s="24" t="str">
        <x:v>%IX260.1</x:v>
      </x:c>
      <x:c r="L35" s="19" t="str">
        <x:v>1 — указанное состояние</x:v>
      </x:c>
      <x:c r="M35" s="19" t="str">
        <x:v>GVL_PHYSICAL_IO.xDiMachine3CycleActive</x:v>
      </x:c>
      <x:c r="N35" s="19" t="str">
        <x:v>GL200-DI32 #1: CH17</x:v>
      </x:c>
      <x:c r="O35" s="57" t="str">
        <x:v>есть в ПЛК</x:v>
      </x:c>
    </x:row>
    <x:row r="36" ht="42" customHeight="1">
      <x:c r="A36" s="19" t="str">
        <x:v>Забор, дверь 3</x:v>
      </x:c>
      <x:c r="B36" s="19" t="str">
        <x:v>Световая индикация кнопки 3</x:v>
      </x:c>
      <x:c r="C36" s="24" t="str">
        <x:v>%QX259.4</x:v>
      </x:c>
      <x:c r="D36" s="19" t="str">
        <x:v>Готовый уровень индикации из FB_CELL_SAFETY</x:v>
      </x:c>
      <x:c r="E36" s="19" t="str">
        <x:v>GVL_PHYSICAL_IO.xDoDoor3ButtonLamp</x:v>
      </x:c>
      <x:c r="F36" s="19" t="str">
        <x:v>GL200-DQ16D #1: CH12</x:v>
      </x:c>
      <x:c r="G36" s="57" t="str">
        <x:v>есть в ПЛК</x:v>
      </x:c>
      <x:c r="I36" s="19" t="str">
        <x:v>Станок 3</x:v>
      </x:c>
      <x:c r="J36" s="19" t="str">
        <x:v>Цикл обработки завершён</x:v>
      </x:c>
      <x:c r="K36" s="24" t="str">
        <x:v>%IX260.2</x:v>
      </x:c>
      <x:c r="L36" s="19" t="str">
        <x:v>1 — указанное состояние</x:v>
      </x:c>
      <x:c r="M36" s="19" t="str">
        <x:v>GVL_PHYSICAL_IO.xDiMachine3CycleDone</x:v>
      </x:c>
      <x:c r="N36" s="19" t="str">
        <x:v>GL200-DI32 #1: CH18</x:v>
      </x:c>
      <x:c r="O36" s="57" t="str">
        <x:v>есть в ПЛК</x:v>
      </x:c>
    </x:row>
    <x:row r="37" ht="46" customHeight="1">
      <x:c r="A37" s="19" t="str">
        <x:v>Забор, дверь 4</x:v>
      </x:c>
      <x:c r="B37" s="19" t="str">
        <x:v>Световая индикация кнопки 4</x:v>
      </x:c>
      <x:c r="C37" s="24" t="str">
        <x:v>%QX259.5</x:v>
      </x:c>
      <x:c r="D37" s="19" t="str">
        <x:v>Готовый уровень индикации из FB_CELL_SAFETY</x:v>
      </x:c>
      <x:c r="E37" s="19" t="str">
        <x:v>GVL_PHYSICAL_IO.xDoDoor4ButtonLamp</x:v>
      </x:c>
      <x:c r="F37" s="19" t="str">
        <x:v>GL200-DQ16D #1: CH13</x:v>
      </x:c>
      <x:c r="G37" s="57" t="str">
        <x:v>есть в ПЛК</x:v>
      </x:c>
      <x:c r="I37" s="19" t="str">
        <x:v>Захват</x:v>
      </x:c>
      <x:c r="J37" s="19" t="str">
        <x:v>Захват 1 открыт</x:v>
      </x:c>
      <x:c r="K37" s="24" t="str">
        <x:v>%IX260.3</x:v>
      </x:c>
      <x:c r="L37" s="19" t="str">
        <x:v>1 — указанная позиция; в Modbus источником остаётся SC-500; 1→0 без задержки</x:v>
      </x:c>
      <x:c r="M37" s="19" t="str">
        <x:v>GVL_PHYSICAL_IO.xDiGripper1Open</x:v>
      </x:c>
      <x:c r="N37" s="19" t="str">
        <x:v>GL200-DI32 #1: CH19</x:v>
      </x:c>
      <x:c r="O37" s="57" t="str">
        <x:v>есть в ПЛК</x:v>
      </x:c>
    </x:row>
    <x:row r="38" ht="46" customHeight="1">
      <x:c r="A38" s="19" t="str">
        <x:v>Магазин 1</x:v>
      </x:c>
      <x:c r="B38" s="19" t="str">
        <x:v>Замок втянут (катушка)</x:v>
      </x:c>
      <x:c r="C38" s="24" t="str">
        <x:v>%QX259.6</x:v>
      </x:c>
      <x:c r="D38" s="19" t="str">
        <x:v>1 — катушка включена; встречные катушки взаимно исключены</x:v>
      </x:c>
      <x:c r="E38" s="19" t="str">
        <x:v>GVL_PHYSICAL_IO.xDoMagazine1LockIn</x:v>
      </x:c>
      <x:c r="F38" s="19" t="str">
        <x:v>GL200-DQ16D #1: CH14</x:v>
      </x:c>
      <x:c r="G38" s="57" t="str">
        <x:v>есть в ПЛК</x:v>
      </x:c>
      <x:c r="I38" s="19" t="str">
        <x:v>Захват</x:v>
      </x:c>
      <x:c r="J38" s="19" t="str">
        <x:v>Захват 1 закрыт</x:v>
      </x:c>
      <x:c r="K38" s="24" t="str">
        <x:v>%IX260.4</x:v>
      </x:c>
      <x:c r="L38" s="19" t="str">
        <x:v>1 — указанная позиция; в Modbus источником остаётся SC-500; 1→0 без задержки</x:v>
      </x:c>
      <x:c r="M38" s="19" t="str">
        <x:v>GVL_PHYSICAL_IO.xDiGripper1Closed</x:v>
      </x:c>
      <x:c r="N38" s="19" t="str">
        <x:v>GL200-DI32 #1: CH20</x:v>
      </x:c>
      <x:c r="O38" s="57" t="str">
        <x:v>есть в ПЛК</x:v>
      </x:c>
    </x:row>
    <x:row r="39" ht="46" customHeight="1">
      <x:c r="A39" s="19" t="str">
        <x:v>Магазин 1</x:v>
      </x:c>
      <x:c r="B39" s="19" t="str">
        <x:v>Замок выдвинут (катушка)</x:v>
      </x:c>
      <x:c r="C39" s="24" t="str">
        <x:v>%QX259.7</x:v>
      </x:c>
      <x:c r="D39" s="19" t="str">
        <x:v>1 — катушка включена; встречные катушки взаимно исключены</x:v>
      </x:c>
      <x:c r="E39" s="19" t="str">
        <x:v>GVL_PHYSICAL_IO.xDoMagazine1LockOut</x:v>
      </x:c>
      <x:c r="F39" s="19" t="str">
        <x:v>GL200-DQ16D #1: CH15</x:v>
      </x:c>
      <x:c r="G39" s="57" t="str">
        <x:v>есть в ПЛК</x:v>
      </x:c>
      <x:c r="I39" s="19" t="str">
        <x:v>Захват</x:v>
      </x:c>
      <x:c r="J39" s="19" t="str">
        <x:v>Захват 2 открыт</x:v>
      </x:c>
      <x:c r="K39" s="24" t="str">
        <x:v>%IX260.5</x:v>
      </x:c>
      <x:c r="L39" s="19" t="str">
        <x:v>1 — указанная позиция; в Modbus источником остаётся SC-500; 1→0 без задержки</x:v>
      </x:c>
      <x:c r="M39" s="19" t="str">
        <x:v>GVL_PHYSICAL_IO.xDiGripper2Open</x:v>
      </x:c>
      <x:c r="N39" s="19" t="str">
        <x:v>GL200-DI32 #1: CH21</x:v>
      </x:c>
      <x:c r="O39" s="57" t="str">
        <x:v>есть в ПЛК</x:v>
      </x:c>
    </x:row>
    <x:row r="40" ht="46" customHeight="1">
      <x:c r="A40" s="19" t="str">
        <x:v>Магазин 1</x:v>
      </x:c>
      <x:c r="B40" s="19" t="str">
        <x:v>Фиксатор выдвинут (катушка)</x:v>
      </x:c>
      <x:c r="C40" s="24" t="str">
        <x:v>%QX260.0</x:v>
      </x:c>
      <x:c r="D40" s="19" t="str">
        <x:v>1 — катушка включена; встречные катушки взаимно исключены</x:v>
      </x:c>
      <x:c r="E40" s="19" t="str">
        <x:v>GVL_PHYSICAL_IO.xDoMagazine1StopIn</x:v>
      </x:c>
      <x:c r="F40" s="19" t="str">
        <x:v>GL200-DQ16D #2: CH0</x:v>
      </x:c>
      <x:c r="G40" s="57" t="str">
        <x:v>есть в ПЛК</x:v>
      </x:c>
      <x:c r="I40" s="19" t="str">
        <x:v>Захват</x:v>
      </x:c>
      <x:c r="J40" s="19" t="str">
        <x:v>Захват 2 закрыт</x:v>
      </x:c>
      <x:c r="K40" s="24" t="str">
        <x:v>%IX260.6</x:v>
      </x:c>
      <x:c r="L40" s="19" t="str">
        <x:v>1 — указанная позиция; в Modbus источником остаётся SC-500; 1→0 без задержки</x:v>
      </x:c>
      <x:c r="M40" s="19" t="str">
        <x:v>GVL_PHYSICAL_IO.xDiGripper2Closed</x:v>
      </x:c>
      <x:c r="N40" s="19" t="str">
        <x:v>GL200-DI32 #1: CH22</x:v>
      </x:c>
      <x:c r="O40" s="57" t="str">
        <x:v>есть в ПЛК</x:v>
      </x:c>
    </x:row>
    <x:row r="41" ht="46" customHeight="1">
      <x:c r="A41" s="19" t="str">
        <x:v>Магазин 1</x:v>
      </x:c>
      <x:c r="B41" s="19" t="str">
        <x:v>Фиксатор втянут (катушка)</x:v>
      </x:c>
      <x:c r="C41" s="24" t="str">
        <x:v>%QX260.1</x:v>
      </x:c>
      <x:c r="D41" s="19" t="str">
        <x:v>1 — катушка включена; встречные катушки взаимно исключены</x:v>
      </x:c>
      <x:c r="E41" s="19" t="str">
        <x:v>GVL_PHYSICAL_IO.xDoMagazine1StopOut</x:v>
      </x:c>
      <x:c r="F41" s="19" t="str">
        <x:v>GL200-DQ16D #2: CH1</x:v>
      </x:c>
      <x:c r="G41" s="57" t="str">
        <x:v>есть в ПЛК</x:v>
      </x:c>
      <x:c r="I41" s="19" t="str">
        <x:v>Захват</x:v>
      </x:c>
      <x:c r="J41" s="19" t="str">
        <x:v>Поворот к заготовке</x:v>
      </x:c>
      <x:c r="K41" s="24" t="str">
        <x:v>%IX260.7</x:v>
      </x:c>
      <x:c r="L41" s="19" t="str">
        <x:v>1 — указанная позиция; в Modbus источником остаётся SC-500; 1→0 без задержки</x:v>
      </x:c>
      <x:c r="M41" s="19" t="str">
        <x:v>GVL_PHYSICAL_IO.xDiRotatedToBlank</x:v>
      </x:c>
      <x:c r="N41" s="19" t="str">
        <x:v>GL200-DI32 #1: CH23</x:v>
      </x:c>
      <x:c r="O41" s="57" t="str">
        <x:v>есть в ПЛК</x:v>
      </x:c>
    </x:row>
    <x:row r="42" ht="46" customHeight="1">
      <x:c r="A42" s="19" t="str">
        <x:v>Магазин 1</x:v>
      </x:c>
      <x:c r="B42" s="19" t="str">
        <x:v>Подъёмник вверху (катушка)</x:v>
      </x:c>
      <x:c r="C42" s="24" t="str">
        <x:v>%QX260.2</x:v>
      </x:c>
      <x:c r="D42" s="19" t="str">
        <x:v>1 — катушка включена; встречные катушки взаимно исключены</x:v>
      </x:c>
      <x:c r="E42" s="19" t="str">
        <x:v>GVL_PHYSICAL_IO.xDoMagazine1LiftUp</x:v>
      </x:c>
      <x:c r="F42" s="19" t="str">
        <x:v>GL200-DQ16D #2: CH2</x:v>
      </x:c>
      <x:c r="G42" s="57" t="str">
        <x:v>есть в ПЛК</x:v>
      </x:c>
      <x:c r="I42" s="19" t="str">
        <x:v>Захват</x:v>
      </x:c>
      <x:c r="J42" s="19" t="str">
        <x:v>Поворот к детали</x:v>
      </x:c>
      <x:c r="K42" s="24" t="str">
        <x:v>%IX261.0</x:v>
      </x:c>
      <x:c r="L42" s="19" t="str">
        <x:v>1 — указанная позиция; в Modbus источником остаётся SC-500; 1→0 без задержки</x:v>
      </x:c>
      <x:c r="M42" s="19" t="str">
        <x:v>GVL_PHYSICAL_IO.xDiRotatedToDetail</x:v>
      </x:c>
      <x:c r="N42" s="19" t="str">
        <x:v>GL200-DI32 #1: CH24</x:v>
      </x:c>
      <x:c r="O42" s="57" t="str">
        <x:v>есть в ПЛК</x:v>
      </x:c>
    </x:row>
    <x:row r="43" ht="46" customHeight="1">
      <x:c r="A43" s="19" t="str">
        <x:v>Магазин 1</x:v>
      </x:c>
      <x:c r="B43" s="19" t="str">
        <x:v>Подъёмник внизу (катушка)</x:v>
      </x:c>
      <x:c r="C43" s="24" t="str">
        <x:v>%QX260.3</x:v>
      </x:c>
      <x:c r="D43" s="19" t="str">
        <x:v>1 — катушка включена; встречные катушки взаимно исключены</x:v>
      </x:c>
      <x:c r="E43" s="19" t="str">
        <x:v>GVL_PHYSICAL_IO.xDoMagazine1LiftDown</x:v>
      </x:c>
      <x:c r="F43" s="19" t="str">
        <x:v>GL200-DQ16D #2: CH3</x:v>
      </x:c>
      <x:c r="G43" s="57" t="str">
        <x:v>есть в ПЛК</x:v>
      </x:c>
      <x:c r="I43" s="19" t="str">
        <x:v>Кнопки, СТАРТ</x:v>
      </x:c>
      <x:c r="J43" s="19" t="str">
        <x:v>Запустить ячейку в работу</x:v>
      </x:c>
      <x:c r="K43" s="24" t="str">
        <x:v>%IX261.1</x:v>
      </x:c>
      <x:c r="L43" s="19" t="str">
        <x:v>1 — кнопка нажата; Стоп проходит без задержки нажатия</x:v>
      </x:c>
      <x:c r="M43" s="19" t="str">
        <x:v>GVL_PHYSICAL_IO.xDiCellStartButtonInput</x:v>
      </x:c>
      <x:c r="N43" s="19" t="str">
        <x:v>GL200-DI32 #1: CH25</x:v>
      </x:c>
      <x:c r="O43" s="57" t="str">
        <x:v>есть в ПЛК</x:v>
      </x:c>
    </x:row>
    <x:row r="44" ht="61" customHeight="1">
      <x:c r="A44" s="19" t="str">
        <x:v>ГК, магазин 1</x:v>
      </x:c>
      <x:c r="B44" s="19" t="str">
        <x:v>ГК привод — Пуск / Стоп</x:v>
      </x:c>
      <x:c r="C44" s="24" t="str">
        <x:v>%QX261.0</x:v>
      </x:c>
      <x:c r="D44" s="19" t="str">
        <x:v>Физический выход частотника конвейера ГК магазина 1; технологический FB ГК пока не подключён. Выход принудительно FALSE.</x:v>
      </x:c>
      <x:c r="E44" s="19" t="str">
        <x:v>GVL_PHYSICAL_IO.xDoGk1DriveRun</x:v>
      </x:c>
      <x:c r="F44" s="19" t="str">
        <x:v>GL200-DQ16D #2: CH8</x:v>
      </x:c>
      <x:c r="G44" s="57" t="str">
        <x:v>есть в ПЛК</x:v>
      </x:c>
      <x:c r="I44" s="19" t="str">
        <x:v>Кнопки, СТОП</x:v>
      </x:c>
      <x:c r="J44" s="19" t="str">
        <x:v>Вывести ячейку из работы</x:v>
      </x:c>
      <x:c r="K44" s="24" t="str">
        <x:v>%IX261.2</x:v>
      </x:c>
      <x:c r="L44" s="19" t="str">
        <x:v>1 — кнопка нажата; Стоп проходит без задержки нажатия; 0→1 без задержки</x:v>
      </x:c>
      <x:c r="M44" s="19" t="str">
        <x:v>GVL_PHYSICAL_IO.xDiCellStopButtonInput</x:v>
      </x:c>
      <x:c r="N44" s="19" t="str">
        <x:v>GL200-DI32 #1: CH26</x:v>
      </x:c>
      <x:c r="O44" s="57" t="str">
        <x:v>есть в ПЛК</x:v>
      </x:c>
    </x:row>
    <x:row r="45" ht="61" customHeight="1">
      <x:c r="A45" s="19" t="str">
        <x:v>ГК, магазин 1</x:v>
      </x:c>
      <x:c r="B45" s="19" t="str">
        <x:v>ГК привод — Сброс аварии</x:v>
      </x:c>
      <x:c r="C45" s="24" t="str">
        <x:v>%QX261.1</x:v>
      </x:c>
      <x:c r="D45" s="19" t="str">
        <x:v>Физический выход частотника конвейера ГК магазина 1; технологический FB ГК пока не подключён. Выход принудительно FALSE.</x:v>
      </x:c>
      <x:c r="E45" s="19" t="str">
        <x:v>GVL_PHYSICAL_IO.xDoGk1DriveReset</x:v>
      </x:c>
      <x:c r="F45" s="19" t="str">
        <x:v>GL200-DQ16D #2: CH9</x:v>
      </x:c>
      <x:c r="G45" s="57" t="str">
        <x:v>есть в ПЛК</x:v>
      </x:c>
      <x:c r="I45" s="19" t="str">
        <x:v>Кнопки, СБРОС</x:v>
      </x:c>
      <x:c r="J45" s="19" t="str">
        <x:v>Сбросить ошибки ячейку</x:v>
      </x:c>
      <x:c r="K45" s="24" t="str">
        <x:v>%IX261.3</x:v>
      </x:c>
      <x:c r="L45" s="19" t="str">
        <x:v>1 — кнопка нажата; Стоп проходит без задержки нажатия</x:v>
      </x:c>
      <x:c r="M45" s="19" t="str">
        <x:v>GVL_PHYSICAL_IO.xDiCellResetButtonInput</x:v>
      </x:c>
      <x:c r="N45" s="19" t="str">
        <x:v>GL200-DI32 #1: CH27</x:v>
      </x:c>
      <x:c r="O45" s="57" t="str">
        <x:v>есть в ПЛК</x:v>
      </x:c>
    </x:row>
    <x:row r="46" ht="61" customHeight="1">
      <x:c r="A46" s="19" t="str">
        <x:v>ГК, магазин 2</x:v>
      </x:c>
      <x:c r="B46" s="19" t="str">
        <x:v>ГК привод — Пуск / Стоп</x:v>
      </x:c>
      <x:c r="C46" s="24" t="str">
        <x:v>%QX262.0</x:v>
      </x:c>
      <x:c r="D46" s="19" t="str">
        <x:v>Физический выход частотника конвейера ГК магазина 2; технологический FB ГК пока не подключён. Выход принудительно FALSE.</x:v>
      </x:c>
      <x:c r="E46" s="19" t="str">
        <x:v>GVL_PHYSICAL_IO.xDoGk2DriveRun</x:v>
      </x:c>
      <x:c r="F46" s="59" t="str">
        <x:v>GL200-DQ16D #3: CH0 — модуль не установлен</x:v>
      </x:c>
      <x:c r="G46" s="57" t="str">
        <x:v>есть в ПЛК</x:v>
      </x:c>
      <x:c r="I46" s="19" t="str">
        <x:v>Забор, грибок 1</x:v>
      </x:c>
      <x:c r="J46" s="19" t="str">
        <x:v>Аварийный грибок 1</x:v>
      </x:c>
      <x:c r="K46" s="24" t="str">
        <x:v>%IX261.4</x:v>
      </x:c>
      <x:c r="L46" s="19" t="str">
        <x:v>Физически 1 — грибок отжат; в PLC TRUE — грибок нажат; 1→0 без задержки</x:v>
      </x:c>
      <x:c r="M46" s="19" t="str">
        <x:v>GVL_PHYSICAL_IO.xDiEmergencyStopStation1Ok</x:v>
      </x:c>
      <x:c r="N46" s="19" t="str">
        <x:v>GL200-DI32 #1: CH28</x:v>
      </x:c>
      <x:c r="O46" s="57" t="str">
        <x:v>есть в ПЛК</x:v>
      </x:c>
    </x:row>
    <x:row r="47" ht="61" customHeight="1">
      <x:c r="A47" s="19" t="str">
        <x:v>ГК, магазин 2</x:v>
      </x:c>
      <x:c r="B47" s="19" t="str">
        <x:v>ГК привод — Сброс аварии</x:v>
      </x:c>
      <x:c r="C47" s="24" t="str">
        <x:v>%QX262.1</x:v>
      </x:c>
      <x:c r="D47" s="19" t="str">
        <x:v>Физический выход частотника конвейера ГК магазина 2; технологический FB ГК пока не подключён. Выход принудительно FALSE.</x:v>
      </x:c>
      <x:c r="E47" s="19" t="str">
        <x:v>GVL_PHYSICAL_IO.xDoGk2DriveReset</x:v>
      </x:c>
      <x:c r="F47" s="59" t="str">
        <x:v>GL200-DQ16D #3: CH1 — модуль не установлен</x:v>
      </x:c>
      <x:c r="G47" s="57" t="str">
        <x:v>есть в ПЛК</x:v>
      </x:c>
      <x:c r="I47" s="19" t="str">
        <x:v>Забор, грибок 2</x:v>
      </x:c>
      <x:c r="J47" s="19" t="str">
        <x:v>Аварийный грибок 2</x:v>
      </x:c>
      <x:c r="K47" s="24" t="str">
        <x:v>%IX261.5</x:v>
      </x:c>
      <x:c r="L47" s="19" t="str">
        <x:v>Физически 1 — грибок отжат; в PLC TRUE — грибок нажат; 1→0 без задержки</x:v>
      </x:c>
      <x:c r="M47" s="19" t="str">
        <x:v>GVL_PHYSICAL_IO.xDiEmergencyStopStation2Ok</x:v>
      </x:c>
      <x:c r="N47" s="19" t="str">
        <x:v>GL200-DI32 #1: CH29</x:v>
      </x:c>
      <x:c r="O47" s="57" t="str">
        <x:v>есть в ПЛК</x:v>
      </x:c>
    </x:row>
    <x:row r="48" ht="46" customHeight="1">
      <x:c r="A48" s="19" t="str">
        <x:v>Магазин 2</x:v>
      </x:c>
      <x:c r="B48" s="19" t="str">
        <x:v>Замок втянут (катушка)</x:v>
      </x:c>
      <x:c r="C48" s="24" t="str">
        <x:v>%QX261.2</x:v>
      </x:c>
      <x:c r="D48" s="19" t="str">
        <x:v>1 — катушка включена; встречные катушки взаимно исключены</x:v>
      </x:c>
      <x:c r="E48" s="19" t="str">
        <x:v>GVL_PHYSICAL_IO.xDoMagazine2LockIn</x:v>
      </x:c>
      <x:c r="F48" s="19" t="str">
        <x:v>GL200-DQ16D #2: CH10</x:v>
      </x:c>
      <x:c r="G48" s="57" t="str">
        <x:v>есть в ПЛК</x:v>
      </x:c>
      <x:c r="I48" s="19" t="str">
        <x:v>Забор, грибок 3</x:v>
      </x:c>
      <x:c r="J48" s="19" t="str">
        <x:v>Аварийный грибок 3</x:v>
      </x:c>
      <x:c r="K48" s="24" t="str">
        <x:v>%IX261.6</x:v>
      </x:c>
      <x:c r="L48" s="19" t="str">
        <x:v>Физически 1 — грибок отжат; в PLC TRUE — грибок нажат; 1→0 без задержки</x:v>
      </x:c>
      <x:c r="M48" s="19" t="str">
        <x:v>GVL_PHYSICAL_IO.xDiEmergencyStopStation3Ok</x:v>
      </x:c>
      <x:c r="N48" s="19" t="str">
        <x:v>GL200-DI32 #1: CH30</x:v>
      </x:c>
      <x:c r="O48" s="57" t="str">
        <x:v>есть в ПЛК</x:v>
      </x:c>
    </x:row>
    <x:row r="49" ht="46" customHeight="1">
      <x:c r="A49" s="19" t="str">
        <x:v>Магазин 2</x:v>
      </x:c>
      <x:c r="B49" s="19" t="str">
        <x:v>Замок выдвинут (катушка)</x:v>
      </x:c>
      <x:c r="C49" s="24" t="str">
        <x:v>%QX261.3</x:v>
      </x:c>
      <x:c r="D49" s="19" t="str">
        <x:v>1 — катушка включена; встречные катушки взаимно исключены</x:v>
      </x:c>
      <x:c r="E49" s="19" t="str">
        <x:v>GVL_PHYSICAL_IO.xDoMagazine2LockOut</x:v>
      </x:c>
      <x:c r="F49" s="19" t="str">
        <x:v>GL200-DQ16D #2: CH11</x:v>
      </x:c>
      <x:c r="G49" s="57" t="str">
        <x:v>есть в ПЛК</x:v>
      </x:c>
      <x:c r="I49" s="19" t="str">
        <x:v>Забор, грибок 4</x:v>
      </x:c>
      <x:c r="J49" s="19" t="str">
        <x:v>Аварийный грибок 4</x:v>
      </x:c>
      <x:c r="K49" s="24" t="str">
        <x:v>%IX261.7</x:v>
      </x:c>
      <x:c r="L49" s="19" t="str">
        <x:v>Физически 1 — грибок отжат; в PLC TRUE — грибок нажат; 1→0 без задержки</x:v>
      </x:c>
      <x:c r="M49" s="19" t="str">
        <x:v>GVL_PHYSICAL_IO.xDiEmergencyStopStation4Ok</x:v>
      </x:c>
      <x:c r="N49" s="19" t="str">
        <x:v>GL200-DI32 #1: CH31</x:v>
      </x:c>
      <x:c r="O49" s="57" t="str">
        <x:v>есть в ПЛК</x:v>
      </x:c>
    </x:row>
    <x:row r="50" ht="46" customHeight="1">
      <x:c r="A50" s="19" t="str">
        <x:v>Магазин 2</x:v>
      </x:c>
      <x:c r="B50" s="19" t="str">
        <x:v>Фиксатор выдвинут (катушка)</x:v>
      </x:c>
      <x:c r="C50" s="24" t="str">
        <x:v>%QX261.4</x:v>
      </x:c>
      <x:c r="D50" s="19" t="str">
        <x:v>1 — катушка включена; встречные катушки взаимно исключены</x:v>
      </x:c>
      <x:c r="E50" s="19" t="str">
        <x:v>GVL_PHYSICAL_IO.xDoMagazine2StopIn</x:v>
      </x:c>
      <x:c r="F50" s="19" t="str">
        <x:v>GL200-DQ16D #2: CH12</x:v>
      </x:c>
      <x:c r="G50" s="57" t="str">
        <x:v>есть в ПЛК</x:v>
      </x:c>
      <x:c r="I50" s="19" t="str">
        <x:v>шкаф оператора</x:v>
      </x:c>
      <x:c r="J50" s="19" t="str">
        <x:v>Аварийный грибок 5</x:v>
      </x:c>
      <x:c r="K50" s="24" t="str">
        <x:v>%IX262.0</x:v>
      </x:c>
      <x:c r="L50" s="19" t="str">
        <x:v>Физически 1 — грибок отжат; в PLC TRUE — грибок нажат; 1→0 без задержки</x:v>
      </x:c>
      <x:c r="M50" s="19" t="str">
        <x:v>GVL_PHYSICAL_IO.xDiEmergencyStopCabinet1Ok</x:v>
      </x:c>
      <x:c r="N50" s="19" t="str">
        <x:v>GL200-DI32 #2: CH0</x:v>
      </x:c>
      <x:c r="O50" s="57" t="str">
        <x:v>есть в ПЛК</x:v>
      </x:c>
    </x:row>
    <x:row r="51" ht="46" customHeight="1">
      <x:c r="A51" s="19" t="str">
        <x:v>Магазин 2</x:v>
      </x:c>
      <x:c r="B51" s="19" t="str">
        <x:v>Фиксатор втянут (катушка)</x:v>
      </x:c>
      <x:c r="C51" s="24" t="str">
        <x:v>%QX261.5</x:v>
      </x:c>
      <x:c r="D51" s="19" t="str">
        <x:v>1 — катушка включена; встречные катушки взаимно исключены</x:v>
      </x:c>
      <x:c r="E51" s="19" t="str">
        <x:v>GVL_PHYSICAL_IO.xDoMagazine2StopOut</x:v>
      </x:c>
      <x:c r="F51" s="19" t="str">
        <x:v>GL200-DQ16D #2: CH13</x:v>
      </x:c>
      <x:c r="G51" s="57" t="str">
        <x:v>есть в ПЛК</x:v>
      </x:c>
      <x:c r="I51" s="19" t="str">
        <x:v>шкаф управления</x:v>
      </x:c>
      <x:c r="J51" s="19" t="str">
        <x:v>Аварийный грибок 6</x:v>
      </x:c>
      <x:c r="K51" s="24" t="str">
        <x:v>%IX262.1</x:v>
      </x:c>
      <x:c r="L51" s="19" t="str">
        <x:v>Физически 1 — грибок отжат; в PLC TRUE — грибок нажат; 1→0 без задержки</x:v>
      </x:c>
      <x:c r="M51" s="19" t="str">
        <x:v>GVL_PHYSICAL_IO.xDiEmergencyStopCabinet2Ok</x:v>
      </x:c>
      <x:c r="N51" s="19" t="str">
        <x:v>GL200-DI32 #2: CH1</x:v>
      </x:c>
      <x:c r="O51" s="57" t="str">
        <x:v>есть в ПЛК</x:v>
      </x:c>
    </x:row>
    <x:row r="52" ht="46" customHeight="1">
      <x:c r="A52" s="19" t="str">
        <x:v>Магазин 2</x:v>
      </x:c>
      <x:c r="B52" s="19" t="str">
        <x:v>Подъёмник вверху (катушка)</x:v>
      </x:c>
      <x:c r="C52" s="24" t="str">
        <x:v>%QX261.6</x:v>
      </x:c>
      <x:c r="D52" s="19" t="str">
        <x:v>1 — катушка включена; встречные катушки взаимно исключены</x:v>
      </x:c>
      <x:c r="E52" s="19" t="str">
        <x:v>GVL_PHYSICAL_IO.xDoMagazine2LiftUp</x:v>
      </x:c>
      <x:c r="F52" s="19" t="str">
        <x:v>GL200-DQ16D #2: CH14</x:v>
      </x:c>
      <x:c r="G52" s="57" t="str">
        <x:v>есть в ПЛК</x:v>
      </x:c>
      <x:c r="I52" s="19" t="str">
        <x:v>MPG пульт, грибок 7</x:v>
      </x:c>
      <x:c r="J52" s="19" t="str">
        <x:v>Аварийный грибок 7</x:v>
      </x:c>
      <x:c r="K52" s="24" t="str">
        <x:v>%IX262.2</x:v>
      </x:c>
      <x:c r="L52" s="19" t="str">
        <x:v>Физически 1 — грибок отжат; в PLC TRUE — грибок нажат; 1→0 без задержки</x:v>
      </x:c>
      <x:c r="M52" s="19" t="str">
        <x:v>GVL_PHYSICAL_IO.xDiEmergencyStopMpgOk</x:v>
      </x:c>
      <x:c r="N52" s="19" t="str">
        <x:v>GL200-DI32 #2: CH2</x:v>
      </x:c>
      <x:c r="O52" s="57" t="str">
        <x:v>есть в ПЛК</x:v>
      </x:c>
    </x:row>
    <x:row r="53" ht="46" customHeight="1">
      <x:c r="A53" s="20" t="str">
        <x:v>Магазин 2</x:v>
      </x:c>
      <x:c r="B53" s="20" t="str">
        <x:v>Подъёмник внизу (катушка)</x:v>
      </x:c>
      <x:c r="C53" s="26" t="str">
        <x:v>%QX261.7</x:v>
      </x:c>
      <x:c r="D53" s="20" t="str">
        <x:v>1 — катушка включена; встречные катушки взаимно исключены</x:v>
      </x:c>
      <x:c r="E53" s="20" t="str">
        <x:v>GVL_PHYSICAL_IO.xDoMagazine2LiftDown</x:v>
      </x:c>
      <x:c r="F53" s="20" t="str">
        <x:v>GL200-DQ16D #2: CH15</x:v>
      </x:c>
      <x:c r="G53" s="61" t="str">
        <x:v>есть в ПЛК</x:v>
      </x:c>
      <x:c r="I53" s="19" t="str">
        <x:v>Забор, дверь 1</x:v>
      </x:c>
      <x:c r="J53" s="19" t="str">
        <x:v>Замок двери 1 открыт/закрыт</x:v>
      </x:c>
      <x:c r="K53" s="24" t="str">
        <x:v>%IX262.3</x:v>
      </x:c>
      <x:c r="L53" s="19" t="str">
        <x:v>1 — замок закрыт; 1→0 без задержки</x:v>
      </x:c>
      <x:c r="M53" s="19" t="str">
        <x:v>GVL_PHYSICAL_IO.xDiDoor1LockClosed</x:v>
      </x:c>
      <x:c r="N53" s="19" t="str">
        <x:v>GL200-DI32 #2: CH3</x:v>
      </x:c>
      <x:c r="O53" s="57" t="str">
        <x:v>есть в ПЛК</x:v>
      </x:c>
    </x:row>
    <x:row r="54" ht="42" customHeight="1">
      <x:c r="I54" s="19" t="str">
        <x:v>Забор, дверь 2</x:v>
      </x:c>
      <x:c r="J54" s="19" t="str">
        <x:v>Замок двери 2 открыт/закрыт</x:v>
      </x:c>
      <x:c r="K54" s="24" t="str">
        <x:v>%IX262.4</x:v>
      </x:c>
      <x:c r="L54" s="19" t="str">
        <x:v>1 — замок закрыт; 1→0 без задержки</x:v>
      </x:c>
      <x:c r="M54" s="19" t="str">
        <x:v>GVL_PHYSICAL_IO.xDiDoor2LockClosed</x:v>
      </x:c>
      <x:c r="N54" s="19" t="str">
        <x:v>GL200-DI32 #2: CH4</x:v>
      </x:c>
      <x:c r="O54" s="57" t="str">
        <x:v>есть в ПЛК</x:v>
      </x:c>
    </x:row>
    <x:row r="55" ht="42" customHeight="1">
      <x:c r="I55" s="19" t="str">
        <x:v>Забор, дверь 3</x:v>
      </x:c>
      <x:c r="J55" s="19" t="str">
        <x:v>Замок двери 3 открыт/закрыт</x:v>
      </x:c>
      <x:c r="K55" s="24" t="str">
        <x:v>%IX262.5</x:v>
      </x:c>
      <x:c r="L55" s="19" t="str">
        <x:v>1 — замок закрыт; 1→0 без задержки</x:v>
      </x:c>
      <x:c r="M55" s="19" t="str">
        <x:v>GVL_PHYSICAL_IO.xDiDoor3LockClosed</x:v>
      </x:c>
      <x:c r="N55" s="19" t="str">
        <x:v>GL200-DI32 #2: CH5</x:v>
      </x:c>
      <x:c r="O55" s="57" t="str">
        <x:v>есть в ПЛК</x:v>
      </x:c>
    </x:row>
    <x:row r="56" ht="42" customHeight="1">
      <x:c r="I56" s="19" t="str">
        <x:v>Забор, дверь 4</x:v>
      </x:c>
      <x:c r="J56" s="19" t="str">
        <x:v>Замок двери 4 открыт/закрыт</x:v>
      </x:c>
      <x:c r="K56" s="24" t="str">
        <x:v>%IX262.6</x:v>
      </x:c>
      <x:c r="L56" s="19" t="str">
        <x:v>1 — замок закрыт; 1→0 без задержки</x:v>
      </x:c>
      <x:c r="M56" s="19" t="str">
        <x:v>GVL_PHYSICAL_IO.xDiDoor4LockClosed</x:v>
      </x:c>
      <x:c r="N56" s="19" t="str">
        <x:v>GL200-DI32 #2: CH6</x:v>
      </x:c>
      <x:c r="O56" s="57" t="str">
        <x:v>есть в ПЛК</x:v>
      </x:c>
    </x:row>
    <x:row r="57" ht="46" customHeight="1">
      <x:c r="I57" s="19" t="str">
        <x:v>Реле безопасности 1</x:v>
      </x:c>
      <x:c r="J57" s="19" t="str">
        <x:v>Реле безопасности 1, взведено</x:v>
      </x:c>
      <x:c r="K57" s="24" t="str">
        <x:v>%IX262.7</x:v>
      </x:c>
      <x:c r="L57" s="19" t="str">
        <x:v>1 — норма; потеря нормы проходит без задержки; 1→0 без задержки</x:v>
      </x:c>
      <x:c r="M57" s="19" t="str">
        <x:v>GVL_PHYSICAL_IO.xDiSafetyRelayOkInput</x:v>
      </x:c>
      <x:c r="N57" s="19" t="str">
        <x:v>GL200-DI32 #2: CH7</x:v>
      </x:c>
      <x:c r="O57" s="57" t="str">
        <x:v>есть в ПЛК</x:v>
      </x:c>
    </x:row>
    <x:row r="58" ht="46" customHeight="1">
      <x:c r="I58" s="19" t="str">
        <x:v>Реле контроля фаз</x:v>
      </x:c>
      <x:c r="J58" s="19" t="str">
        <x:v>Фазы совпадают</x:v>
      </x:c>
      <x:c r="K58" s="24" t="str">
        <x:v>%IX263.0</x:v>
      </x:c>
      <x:c r="L58" s="19" t="str">
        <x:v>1 — норма; потеря нормы проходит без задержки; 1→0 без задержки</x:v>
      </x:c>
      <x:c r="M58" s="19" t="str">
        <x:v>GVL_PHYSICAL_IO.xDiPhaseRelayOkInput</x:v>
      </x:c>
      <x:c r="N58" s="19" t="str">
        <x:v>GL200-DI32 #2: CH8</x:v>
      </x:c>
      <x:c r="O58" s="57" t="str">
        <x:v>есть в ПЛК</x:v>
      </x:c>
    </x:row>
    <x:row r="59" ht="46" customHeight="1">
      <x:c r="I59" s="19" t="str">
        <x:v>Сигнал низкого давления</x:v>
      </x:c>
      <x:c r="J59" s="19" t="str">
        <x:v>Давление стабильно</x:v>
      </x:c>
      <x:c r="K59" s="24" t="str">
        <x:v>%IX263.1</x:v>
      </x:c>
      <x:c r="L59" s="19" t="str">
        <x:v>1 — норма; потеря нормы проходит без задержки; 1→0 без задержки</x:v>
      </x:c>
      <x:c r="M59" s="19" t="str">
        <x:v>GVL_PHYSICAL_IO.xDiPressureRelayOkInput</x:v>
      </x:c>
      <x:c r="N59" s="19" t="str">
        <x:v>GL200-DI32 #2: CH9</x:v>
      </x:c>
      <x:c r="O59" s="57" t="str">
        <x:v>есть в ПЛК</x:v>
      </x:c>
    </x:row>
    <x:row r="60" ht="61" customHeight="1">
      <x:c r="I60" s="19" t="str">
        <x:v>MPG пульт</x:v>
      </x:c>
      <x:c r="J60" s="19" t="str">
        <x:v>Энкодер A +</x:v>
      </x:c>
      <x:c r="K60" s="24" t="str">
        <x:v>%IX256.0</x:v>
      </x:c>
      <x:c r="L60" s="19" t="str">
        <x:v>Резерв быстрого входа CPU под фазу A. Аппаратный квадратурный счётчик и согласование уровня ещё не реализованы.</x:v>
      </x:c>
      <x:c r="M60" s="19" t="str">
        <x:v>Не реализован (HSC A)</x:v>
      </x:c>
      <x:c r="N60" s="19" t="str">
        <x:v>MC522: DI_CH0 / HSC, резерв</x:v>
      </x:c>
      <x:c r="O60" s="65" t="str">
        <x:v>нету в ПЛК</x:v>
      </x:c>
    </x:row>
    <x:row r="61" ht="61" customHeight="1">
      <x:c r="I61" s="19" t="str">
        <x:v>MPG пульт</x:v>
      </x:c>
      <x:c r="J61" s="19" t="str">
        <x:v>Энкодер B +</x:v>
      </x:c>
      <x:c r="K61" s="24" t="str">
        <x:v>%IX256.1</x:v>
      </x:c>
      <x:c r="L61" s="19" t="str">
        <x:v>Резерв быстрого входа CPU под фазу B. Аппаратный квадратурный счётчик и согласование уровня ещё не реализованы.</x:v>
      </x:c>
      <x:c r="M61" s="19" t="str">
        <x:v>Не реализован (HSC B)</x:v>
      </x:c>
      <x:c r="N61" s="19" t="str">
        <x:v>MC522: DI_CH1 / HSC, резерв</x:v>
      </x:c>
      <x:c r="O61" s="65" t="str">
        <x:v>нету в ПЛК</x:v>
      </x:c>
    </x:row>
    <x:row r="62" ht="61" customHeight="1">
      <x:c r="I62" s="19" t="str">
        <x:v>MPG пульт</x:v>
      </x:c>
      <x:c r="J62" s="19" t="str">
        <x:v>Энкодер A -</x:v>
      </x:c>
      <x:c r="K62" s="24"/>
      <x:c r="L62" s="19" t="str">
        <x:v>A− — инверсная линия дифференциальной пары A+/−, не самостоятельный обычный DI. При RS-422 нужен совместимый приёмник.</x:v>
      </x:c>
      <x:c r="M62" s="19" t="str">
        <x:v>Нет отдельного BOOL</x:v>
      </x:c>
      <x:c r="N62" s="19" t="str">
        <x:v>Дифференциальная пара MPG</x:v>
      </x:c>
      <x:c r="O62" s="65" t="str">
        <x:v>нету в ПЛК</x:v>
      </x:c>
    </x:row>
    <x:row r="63" ht="61" customHeight="1">
      <x:c r="I63" s="19" t="str">
        <x:v>MPG пульт</x:v>
      </x:c>
      <x:c r="J63" s="19" t="str">
        <x:v>Энкодер B -</x:v>
      </x:c>
      <x:c r="K63" s="24"/>
      <x:c r="L63" s="19" t="str">
        <x:v>B− — инверсная линия дифференциальной пары B+/−, не самостоятельный обычный DI. При RS-422 нужен совместимый приёмник.</x:v>
      </x:c>
      <x:c r="M63" s="19" t="str">
        <x:v>Нет отдельного BOOL</x:v>
      </x:c>
      <x:c r="N63" s="19" t="str">
        <x:v>Дифференциальная пара MPG</x:v>
      </x:c>
      <x:c r="O63" s="65" t="str">
        <x:v>нету в ПЛК</x:v>
      </x:c>
    </x:row>
    <x:row r="64" ht="46" customHeight="1">
      <x:c r="I64" s="19" t="str">
        <x:v>MPG пульт</x:v>
      </x:c>
      <x:c r="J64" s="19" t="str">
        <x:v>Выбор оси X</x:v>
      </x:c>
      <x:c r="K64" s="24" t="str">
        <x:v>%IX263.2</x:v>
      </x:c>
      <x:c r="L64" s="19" t="str">
        <x:v>Есть в PLC: исправлена ошибочная отметка «Нет в ПЛК»</x:v>
      </x:c>
      <x:c r="M64" s="19" t="str">
        <x:v>GVL_PHYSICAL_IO.xDiMpgAxisXInput</x:v>
      </x:c>
      <x:c r="N64" s="19" t="str">
        <x:v>GL200-DI32 #2: CH10</x:v>
      </x:c>
      <x:c r="O64" s="57" t="str">
        <x:v>есть в ПЛК</x:v>
      </x:c>
    </x:row>
    <x:row r="65" ht="46" customHeight="1">
      <x:c r="I65" s="19" t="str">
        <x:v>MPG пульт</x:v>
      </x:c>
      <x:c r="J65" s="19" t="str">
        <x:v>Выбор оси Y</x:v>
      </x:c>
      <x:c r="K65" s="24" t="str">
        <x:v>%IX263.3</x:v>
      </x:c>
      <x:c r="L65" s="19" t="str">
        <x:v>Есть в PLC: исправлена ошибочная отметка «Нет в ПЛК»</x:v>
      </x:c>
      <x:c r="M65" s="19" t="str">
        <x:v>GVL_PHYSICAL_IO.xDiMpgAxisYInput</x:v>
      </x:c>
      <x:c r="N65" s="19" t="str">
        <x:v>GL200-DI32 #2: CH11</x:v>
      </x:c>
      <x:c r="O65" s="57" t="str">
        <x:v>есть в ПЛК</x:v>
      </x:c>
    </x:row>
    <x:row r="66" ht="46" customHeight="1">
      <x:c r="I66" s="19" t="str">
        <x:v>MPG пульт</x:v>
      </x:c>
      <x:c r="J66" s="19" t="str">
        <x:v>Выбор оси Z</x:v>
      </x:c>
      <x:c r="K66" s="24" t="str">
        <x:v>%IX263.4</x:v>
      </x:c>
      <x:c r="L66" s="19" t="str">
        <x:v>Есть в PLC: исправлена ошибочная отметка «Нет в ПЛК»</x:v>
      </x:c>
      <x:c r="M66" s="19" t="str">
        <x:v>GVL_PHYSICAL_IO.xDiMpgAxisZInput</x:v>
      </x:c>
      <x:c r="N66" s="19" t="str">
        <x:v>GL200-DI32 #2: CH12</x:v>
      </x:c>
      <x:c r="O66" s="57" t="str">
        <x:v>есть в ПЛК</x:v>
      </x:c>
    </x:row>
    <x:row r="67" ht="46" customHeight="1">
      <x:c r="I67" s="19" t="str">
        <x:v>MPG пульт</x:v>
      </x:c>
      <x:c r="J67" s="19" t="str">
        <x:v>Выбор оси A</x:v>
      </x:c>
      <x:c r="K67" s="24"/>
      <x:c r="L67" s="19" t="str">
        <x:v>Ось A в портале не предусмотрена; физический канал не назначен</x:v>
      </x:c>
      <x:c r="M67" s="19" t="str">
        <x:v>Не реализован</x:v>
      </x:c>
      <x:c r="N67" s="19" t="str">
        <x:v>—</x:v>
      </x:c>
      <x:c r="O67" s="65" t="str">
        <x:v>нету в ПЛК</x:v>
      </x:c>
    </x:row>
    <x:row r="68" ht="46" customHeight="1">
      <x:c r="I68" s="19" t="str">
        <x:v>MPG пульт</x:v>
      </x:c>
      <x:c r="J68" s="19" t="str">
        <x:v>Множитель ×1</x:v>
      </x:c>
      <x:c r="K68" s="24" t="str">
        <x:v>%IX263.5</x:v>
      </x:c>
      <x:c r="L68" s="19" t="str">
        <x:v>Есть в PLC: исправлена ошибочная отметка «Нет в ПЛК»</x:v>
      </x:c>
      <x:c r="M68" s="19" t="str">
        <x:v>GVL_PHYSICAL_IO.xDiMpgMultiplier1Input</x:v>
      </x:c>
      <x:c r="N68" s="19" t="str">
        <x:v>GL200-DI32 #2: CH13</x:v>
      </x:c>
      <x:c r="O68" s="57" t="str">
        <x:v>есть в ПЛК</x:v>
      </x:c>
    </x:row>
    <x:row r="69" ht="46" customHeight="1">
      <x:c r="I69" s="19" t="str">
        <x:v>MPG пульт</x:v>
      </x:c>
      <x:c r="J69" s="19" t="str">
        <x:v>Множитель ×10</x:v>
      </x:c>
      <x:c r="K69" s="24" t="str">
        <x:v>%IX263.6</x:v>
      </x:c>
      <x:c r="L69" s="19" t="str">
        <x:v>Есть в PLC: исправлена ошибочная отметка «Нет в ПЛК»</x:v>
      </x:c>
      <x:c r="M69" s="19" t="str">
        <x:v>GVL_PHYSICAL_IO.xDiMpgMultiplier10Input</x:v>
      </x:c>
      <x:c r="N69" s="19" t="str">
        <x:v>GL200-DI32 #2: CH14</x:v>
      </x:c>
      <x:c r="O69" s="57" t="str">
        <x:v>есть в ПЛК</x:v>
      </x:c>
    </x:row>
    <x:row r="70" ht="46" customHeight="1">
      <x:c r="I70" s="19" t="str">
        <x:v>MPG пульт</x:v>
      </x:c>
      <x:c r="J70" s="19" t="str">
        <x:v>Множитель ×100</x:v>
      </x:c>
      <x:c r="K70" s="24" t="str">
        <x:v>%IX263.7</x:v>
      </x:c>
      <x:c r="L70" s="19" t="str">
        <x:v>Есть в PLC: исправлена ошибочная отметка «Нет в ПЛК»</x:v>
      </x:c>
      <x:c r="M70" s="19" t="str">
        <x:v>GVL_PHYSICAL_IO.xDiMpgMultiplier100Input</x:v>
      </x:c>
      <x:c r="N70" s="19" t="str">
        <x:v>GL200-DI32 #2: CH15</x:v>
      </x:c>
      <x:c r="O70" s="57" t="str">
        <x:v>есть в ПЛК</x:v>
      </x:c>
    </x:row>
    <x:row r="71" ht="42" customHeight="1">
      <x:c r="I71" s="19" t="str">
        <x:v>Магазин 1</x:v>
      </x:c>
      <x:c r="J71" s="19" t="str">
        <x:v>Замок втянут</x:v>
      </x:c>
      <x:c r="K71" s="24" t="str">
        <x:v>%IX264.0</x:v>
      </x:c>
      <x:c r="L71" s="19" t="str">
        <x:v>1 — геркон сработал; 1→0 без задержки</x:v>
      </x:c>
      <x:c r="M71" s="19" t="str">
        <x:v>GVL_PHYSICAL_IO.xDiMagazine1LockIn</x:v>
      </x:c>
      <x:c r="N71" s="19" t="str">
        <x:v>GL200-DI32 #2: CH16</x:v>
      </x:c>
      <x:c r="O71" s="57" t="str">
        <x:v>есть в ПЛК</x:v>
      </x:c>
    </x:row>
    <x:row r="72" ht="42" customHeight="1">
      <x:c r="I72" s="19" t="str">
        <x:v>Магазин 1</x:v>
      </x:c>
      <x:c r="J72" s="19" t="str">
        <x:v>Замок выдвинут</x:v>
      </x:c>
      <x:c r="K72" s="24" t="str">
        <x:v>%IX264.1</x:v>
      </x:c>
      <x:c r="L72" s="19" t="str">
        <x:v>1 — геркон сработал; 1→0 без задержки</x:v>
      </x:c>
      <x:c r="M72" s="19" t="str">
        <x:v>GVL_PHYSICAL_IO.xDiMagazine1LockOut</x:v>
      </x:c>
      <x:c r="N72" s="19" t="str">
        <x:v>GL200-DI32 #2: CH17</x:v>
      </x:c>
      <x:c r="O72" s="57" t="str">
        <x:v>есть в ПЛК</x:v>
      </x:c>
    </x:row>
    <x:row r="73" ht="42" customHeight="1">
      <x:c r="I73" s="19" t="str">
        <x:v>Магазин 1</x:v>
      </x:c>
      <x:c r="J73" s="19" t="str">
        <x:v>Фиксатор выдвинут</x:v>
      </x:c>
      <x:c r="K73" s="24" t="str">
        <x:v>%IX264.2</x:v>
      </x:c>
      <x:c r="L73" s="19" t="str">
        <x:v>1 — геркон сработал; 1→0 без задержки</x:v>
      </x:c>
      <x:c r="M73" s="19" t="str">
        <x:v>GVL_PHYSICAL_IO.xDiMagazine1StopIn</x:v>
      </x:c>
      <x:c r="N73" s="19" t="str">
        <x:v>GL200-DI32 #2: CH18</x:v>
      </x:c>
      <x:c r="O73" s="57" t="str">
        <x:v>есть в ПЛК</x:v>
      </x:c>
    </x:row>
    <x:row r="74" ht="42" customHeight="1">
      <x:c r="I74" s="19" t="str">
        <x:v>Магазин 1</x:v>
      </x:c>
      <x:c r="J74" s="19" t="str">
        <x:v>Фиксатор втянут</x:v>
      </x:c>
      <x:c r="K74" s="24" t="str">
        <x:v>%IX264.3</x:v>
      </x:c>
      <x:c r="L74" s="19" t="str">
        <x:v>1 — геркон сработал; 1→0 без задержки</x:v>
      </x:c>
      <x:c r="M74" s="19" t="str">
        <x:v>GVL_PHYSICAL_IO.xDiMagazine1StopOut</x:v>
      </x:c>
      <x:c r="N74" s="19" t="str">
        <x:v>GL200-DI32 #2: CH19</x:v>
      </x:c>
      <x:c r="O74" s="57" t="str">
        <x:v>есть в ПЛК</x:v>
      </x:c>
    </x:row>
    <x:row r="75" ht="42" customHeight="1">
      <x:c r="I75" s="19" t="str">
        <x:v>Магазин 1</x:v>
      </x:c>
      <x:c r="J75" s="19" t="str">
        <x:v>Подъёмник вверху</x:v>
      </x:c>
      <x:c r="K75" s="24" t="str">
        <x:v>%IX264.4</x:v>
      </x:c>
      <x:c r="L75" s="19" t="str">
        <x:v>1 — геркон сработал; 1→0 без задержки</x:v>
      </x:c>
      <x:c r="M75" s="19" t="str">
        <x:v>GVL_PHYSICAL_IO.xDiMagazine1LiftUp</x:v>
      </x:c>
      <x:c r="N75" s="19" t="str">
        <x:v>GL200-DI32 #2: CH20</x:v>
      </x:c>
      <x:c r="O75" s="57" t="str">
        <x:v>есть в ПЛК</x:v>
      </x:c>
    </x:row>
    <x:row r="76" ht="42" customHeight="1">
      <x:c r="I76" s="19" t="str">
        <x:v>Магазин 1</x:v>
      </x:c>
      <x:c r="J76" s="19" t="str">
        <x:v>Подъёмник внизу</x:v>
      </x:c>
      <x:c r="K76" s="24" t="str">
        <x:v>%IX264.5</x:v>
      </x:c>
      <x:c r="L76" s="19" t="str">
        <x:v>1 — геркон сработал; 1→0 без задержки</x:v>
      </x:c>
      <x:c r="M76" s="19" t="str">
        <x:v>GVL_PHYSICAL_IO.xDiMagazine1LiftDown</x:v>
      </x:c>
      <x:c r="N76" s="19" t="str">
        <x:v>GL200-DI32 #2: CH21</x:v>
      </x:c>
      <x:c r="O76" s="57" t="str">
        <x:v>есть в ПЛК</x:v>
      </x:c>
    </x:row>
    <x:row r="77" ht="61" customHeight="1">
      <x:c r="I77" s="19" t="str">
        <x:v>ГК, магазин 1</x:v>
      </x:c>
      <x:c r="J77" s="19" t="str">
        <x:v>ГК привод — Авария</x:v>
      </x:c>
      <x:c r="K77" s="24" t="str">
        <x:v>%IX265.2</x:v>
      </x:c>
      <x:c r="L77" s="19" t="str">
        <x:v>Физический вход частотника конвейера ГК магазина 1; технологический FB ГК пока не подключён. Сырая переменная.</x:v>
      </x:c>
      <x:c r="M77" s="19" t="str">
        <x:v>GVL_PHYSICAL_IO.xDiGk1DriveAlarm</x:v>
      </x:c>
      <x:c r="N77" s="19" t="str">
        <x:v>GL200-DI32 #2: CH26</x:v>
      </x:c>
      <x:c r="O77" s="57" t="str">
        <x:v>есть в ПЛК</x:v>
      </x:c>
    </x:row>
    <x:row r="78" ht="61" customHeight="1">
      <x:c r="I78" s="19" t="str">
        <x:v>ГК, магазин 1</x:v>
      </x:c>
      <x:c r="J78" s="19" t="str">
        <x:v>ГК привод — Работа</x:v>
      </x:c>
      <x:c r="K78" s="24" t="str">
        <x:v>%IX265.3</x:v>
      </x:c>
      <x:c r="L78" s="19" t="str">
        <x:v>Физический вход частотника конвейера ГК магазина 1; технологический FB ГК пока не подключён. Сырая переменная.</x:v>
      </x:c>
      <x:c r="M78" s="19" t="str">
        <x:v>GVL_PHYSICAL_IO.xDiGk1DriveRunning</x:v>
      </x:c>
      <x:c r="N78" s="19" t="str">
        <x:v>GL200-DI32 #2: CH27</x:v>
      </x:c>
      <x:c r="O78" s="57" t="str">
        <x:v>есть в ПЛК</x:v>
      </x:c>
    </x:row>
    <x:row r="79" ht="91" customHeight="1">
      <x:c r="I79" s="19" t="str">
        <x:v>ГК, магазин 1</x:v>
      </x:c>
      <x:c r="J79" s="19" t="str">
        <x:v>Датчик фиксации детали на конце конвейера</x:v>
      </x:c>
      <x:c r="K79" s="24" t="str">
        <x:v>%IX265.4</x:v>
      </x:c>
      <x:c r="L79" s="19" t="str">
        <x:v>1 — деталь зафиксирована в конечном положении конвейера. Передний фронт фильтруется настройкой ячейки; потеря подтверждения проходит сразу. Технологический FB ГК пока не подключён.</x:v>
      </x:c>
      <x:c r="M79" s="19" t="str">
        <x:v>GVL_PHYSICAL_IO.xDiGk1PartAtEnd</x:v>
      </x:c>
      <x:c r="N79" s="19" t="str">
        <x:v>GL200-DI32 #2: CH28</x:v>
      </x:c>
      <x:c r="O79" s="57" t="str">
        <x:v>есть в ПЛК</x:v>
      </x:c>
    </x:row>
    <x:row r="80" ht="61" customHeight="1">
      <x:c r="I80" s="19" t="str">
        <x:v>ГК, магазин 2</x:v>
      </x:c>
      <x:c r="J80" s="19" t="str">
        <x:v>ГК привод — Авария</x:v>
      </x:c>
      <x:c r="K80" s="24" t="str">
        <x:v>%IX265.5</x:v>
      </x:c>
      <x:c r="L80" s="19" t="str">
        <x:v>Физический вход частотника конвейера ГК магазина 2; сырая переменная, к технологическому FB не подключён.</x:v>
      </x:c>
      <x:c r="M80" s="19" t="str">
        <x:v>GVL_PHYSICAL_IO.xDiGk2DriveAlarm</x:v>
      </x:c>
      <x:c r="N80" s="19" t="str">
        <x:v>GL200-DI32 #2: CH29</x:v>
      </x:c>
      <x:c r="O80" s="57" t="str">
        <x:v>есть в ПЛК</x:v>
      </x:c>
    </x:row>
    <x:row r="81" ht="61" customHeight="1">
      <x:c r="I81" s="19" t="str">
        <x:v>ГК, магазин 2</x:v>
      </x:c>
      <x:c r="J81" s="19" t="str">
        <x:v>ГК привод — Работа</x:v>
      </x:c>
      <x:c r="K81" s="24" t="str">
        <x:v>%IX265.6</x:v>
      </x:c>
      <x:c r="L81" s="19" t="str">
        <x:v>Физический вход частотника конвейера ГК магазина 2; сырая переменная, к технологическому FB не подключён.</x:v>
      </x:c>
      <x:c r="M81" s="19" t="str">
        <x:v>GVL_PHYSICAL_IO.xDiGk2DriveRunning</x:v>
      </x:c>
      <x:c r="N81" s="19" t="str">
        <x:v>GL200-DI32 #2: CH30</x:v>
      </x:c>
      <x:c r="O81" s="57" t="str">
        <x:v>есть в ПЛК</x:v>
      </x:c>
    </x:row>
    <x:row r="82" ht="91" customHeight="1">
      <x:c r="I82" s="19" t="str">
        <x:v>ГК, магазин 2</x:v>
      </x:c>
      <x:c r="J82" s="19" t="str">
        <x:v>Датчик фиксации детали на конце конвейера</x:v>
      </x:c>
      <x:c r="K82" s="24" t="str">
        <x:v>%IX265.7</x:v>
      </x:c>
      <x:c r="L82" s="19" t="str">
        <x:v>1 — деталь зафиксирована в конечном положении конвейера. Передний фронт фильтруется настройкой ячейки; потеря подтверждения проходит сразу. Технологический FB ГК пока не подключён.</x:v>
      </x:c>
      <x:c r="M82" s="19" t="str">
        <x:v>GVL_PHYSICAL_IO.xDiGk2PartAtEnd</x:v>
      </x:c>
      <x:c r="N82" s="19" t="str">
        <x:v>GL200-DI32 #2: CH31</x:v>
      </x:c>
      <x:c r="O82" s="57" t="str">
        <x:v>есть в ПЛК</x:v>
      </x:c>
    </x:row>
    <x:row r="83" ht="42" customHeight="1">
      <x:c r="I83" s="19" t="str">
        <x:v>Забор, дверь 1</x:v>
      </x:c>
      <x:c r="J83" s="19" t="str">
        <x:v>Кнопка запроса открытия двери 1</x:v>
      </x:c>
      <x:c r="K83" s="24" t="str">
        <x:v>%IX264.6</x:v>
      </x:c>
      <x:c r="L83" s="19" t="str">
        <x:v>1 — нажата</x:v>
      </x:c>
      <x:c r="M83" s="19" t="str">
        <x:v>GVL_PHYSICAL_IO.xDiDoor1UnlockButton</x:v>
      </x:c>
      <x:c r="N83" s="19" t="str">
        <x:v>GL200-DI32 #2: CH22</x:v>
      </x:c>
      <x:c r="O83" s="57" t="str">
        <x:v>есть в ПЛК</x:v>
      </x:c>
    </x:row>
    <x:row r="84" ht="42" customHeight="1">
      <x:c r="I84" s="19" t="str">
        <x:v>Забор, дверь 2</x:v>
      </x:c>
      <x:c r="J84" s="19" t="str">
        <x:v>Кнопка запроса открытия двери 2</x:v>
      </x:c>
      <x:c r="K84" s="24" t="str">
        <x:v>%IX264.7</x:v>
      </x:c>
      <x:c r="L84" s="19" t="str">
        <x:v>1 — нажата</x:v>
      </x:c>
      <x:c r="M84" s="19" t="str">
        <x:v>GVL_PHYSICAL_IO.xDiDoor2UnlockButton</x:v>
      </x:c>
      <x:c r="N84" s="19" t="str">
        <x:v>GL200-DI32 #2: CH23</x:v>
      </x:c>
      <x:c r="O84" s="57" t="str">
        <x:v>есть в ПЛК</x:v>
      </x:c>
    </x:row>
    <x:row r="85" ht="42" customHeight="1">
      <x:c r="I85" s="19" t="str">
        <x:v>Забор, дверь 3</x:v>
      </x:c>
      <x:c r="J85" s="19" t="str">
        <x:v>Кнопка запроса открытия двери 3</x:v>
      </x:c>
      <x:c r="K85" s="24" t="str">
        <x:v>%IX265.0</x:v>
      </x:c>
      <x:c r="L85" s="19" t="str">
        <x:v>1 — нажата</x:v>
      </x:c>
      <x:c r="M85" s="19" t="str">
        <x:v>GVL_PHYSICAL_IO.xDiDoor3UnlockButton</x:v>
      </x:c>
      <x:c r="N85" s="19" t="str">
        <x:v>GL200-DI32 #2: CH24</x:v>
      </x:c>
      <x:c r="O85" s="57" t="str">
        <x:v>есть в ПЛК</x:v>
      </x:c>
    </x:row>
    <x:row r="86" ht="42" customHeight="1">
      <x:c r="I86" s="19" t="str">
        <x:v>Забор, дверь 4</x:v>
      </x:c>
      <x:c r="J86" s="19" t="str">
        <x:v>Кнопка запроса открытия двери 4</x:v>
      </x:c>
      <x:c r="K86" s="24" t="str">
        <x:v>%IX265.1</x:v>
      </x:c>
      <x:c r="L86" s="19" t="str">
        <x:v>1 — нажата</x:v>
      </x:c>
      <x:c r="M86" s="19" t="str">
        <x:v>GVL_PHYSICAL_IO.xDiDoor4UnlockButton</x:v>
      </x:c>
      <x:c r="N86" s="19" t="str">
        <x:v>GL200-DI32 #2: CH25</x:v>
      </x:c>
      <x:c r="O86" s="57" t="str">
        <x:v>есть в ПЛК</x:v>
      </x:c>
    </x:row>
    <x:row r="87" ht="46" customHeight="1">
      <x:c r="I87" s="19" t="str">
        <x:v>Магазин 2</x:v>
      </x:c>
      <x:c r="J87" s="19" t="str">
        <x:v>Замок втянут</x:v>
      </x:c>
      <x:c r="K87" s="24" t="str">
        <x:v>%IX266.0</x:v>
      </x:c>
      <x:c r="L87" s="19" t="str">
        <x:v>1 — геркон сработал; 1→0 без задержки</x:v>
      </x:c>
      <x:c r="M87" s="19" t="str">
        <x:v>GVL_PHYSICAL_IO.xDiMagazine2LockIn</x:v>
      </x:c>
      <x:c r="N87" s="59" t="str">
        <x:v>GL200-DI32 #3: CH0 — модуль не установлен</x:v>
      </x:c>
      <x:c r="O87" s="57" t="str">
        <x:v>есть в ПЛК</x:v>
      </x:c>
    </x:row>
    <x:row r="88" ht="46" customHeight="1">
      <x:c r="I88" s="19" t="str">
        <x:v>Магазин 2</x:v>
      </x:c>
      <x:c r="J88" s="19" t="str">
        <x:v>Замок выдвинут</x:v>
      </x:c>
      <x:c r="K88" s="24" t="str">
        <x:v>%IX266.1</x:v>
      </x:c>
      <x:c r="L88" s="19" t="str">
        <x:v>1 — геркон сработал; 1→0 без задержки</x:v>
      </x:c>
      <x:c r="M88" s="19" t="str">
        <x:v>GVL_PHYSICAL_IO.xDiMagazine2LockOut</x:v>
      </x:c>
      <x:c r="N88" s="59" t="str">
        <x:v>GL200-DI32 #3: CH1 — модуль не установлен</x:v>
      </x:c>
      <x:c r="O88" s="57" t="str">
        <x:v>есть в ПЛК</x:v>
      </x:c>
    </x:row>
    <x:row r="89" ht="46" customHeight="1">
      <x:c r="I89" s="19" t="str">
        <x:v>Магазин 2</x:v>
      </x:c>
      <x:c r="J89" s="19" t="str">
        <x:v>Фиксатор выдвинут</x:v>
      </x:c>
      <x:c r="K89" s="24" t="str">
        <x:v>%IX266.2</x:v>
      </x:c>
      <x:c r="L89" s="19" t="str">
        <x:v>1 — геркон сработал; 1→0 без задержки</x:v>
      </x:c>
      <x:c r="M89" s="19" t="str">
        <x:v>GVL_PHYSICAL_IO.xDiMagazine2StopIn</x:v>
      </x:c>
      <x:c r="N89" s="59" t="str">
        <x:v>GL200-DI32 #3: CH2 — модуль не установлен</x:v>
      </x:c>
      <x:c r="O89" s="57" t="str">
        <x:v>есть в ПЛК</x:v>
      </x:c>
    </x:row>
    <x:row r="90" ht="46" customHeight="1">
      <x:c r="I90" s="19" t="str">
        <x:v>Магазин 2</x:v>
      </x:c>
      <x:c r="J90" s="19" t="str">
        <x:v>Фиксатор втянут</x:v>
      </x:c>
      <x:c r="K90" s="24" t="str">
        <x:v>%IX266.3</x:v>
      </x:c>
      <x:c r="L90" s="19" t="str">
        <x:v>1 — геркон сработал; 1→0 без задержки</x:v>
      </x:c>
      <x:c r="M90" s="19" t="str">
        <x:v>GVL_PHYSICAL_IO.xDiMagazine2StopOut</x:v>
      </x:c>
      <x:c r="N90" s="59" t="str">
        <x:v>GL200-DI32 #3: CH3 — модуль не установлен</x:v>
      </x:c>
      <x:c r="O90" s="57" t="str">
        <x:v>есть в ПЛК</x:v>
      </x:c>
    </x:row>
    <x:row r="91" ht="46" customHeight="1">
      <x:c r="I91" s="19" t="str">
        <x:v>Магазин 2</x:v>
      </x:c>
      <x:c r="J91" s="19" t="str">
        <x:v>Подъёмник вверху</x:v>
      </x:c>
      <x:c r="K91" s="24" t="str">
        <x:v>%IX266.4</x:v>
      </x:c>
      <x:c r="L91" s="19" t="str">
        <x:v>1 — геркон сработал; 1→0 без задержки</x:v>
      </x:c>
      <x:c r="M91" s="19" t="str">
        <x:v>GVL_PHYSICAL_IO.xDiMagazine2LiftUp</x:v>
      </x:c>
      <x:c r="N91" s="59" t="str">
        <x:v>GL200-DI32 #3: CH4 — модуль не установлен</x:v>
      </x:c>
      <x:c r="O91" s="57" t="str">
        <x:v>есть в ПЛК</x:v>
      </x:c>
    </x:row>
    <x:row r="92" ht="46" customHeight="1">
      <x:c r="I92" s="20" t="str">
        <x:v>Магазин 2</x:v>
      </x:c>
      <x:c r="J92" s="20" t="str">
        <x:v>Подъёмник внизу</x:v>
      </x:c>
      <x:c r="K92" s="26" t="str">
        <x:v>%IX266.5</x:v>
      </x:c>
      <x:c r="L92" s="20" t="str">
        <x:v>1 — геркон сработал; 1→0 без задержки</x:v>
      </x:c>
      <x:c r="M92" s="20" t="str">
        <x:v>GVL_PHYSICAL_IO.xDiMagazine2LiftDown</x:v>
      </x:c>
      <x:c r="N92" s="63" t="str">
        <x:v>GL200-DI32 #3: CH5 — модуль не установлен</x:v>
      </x:c>
      <x:c r="O92" s="61" t="str">
        <x:v>есть в ПЛК</x:v>
      </x:c>
    </x:row>
    <x:row r="93" ht="74.0999984741211" customHeight="1"/>
    <x:row r="94" ht="74.0999984741211" customHeight="1"/>
    <x:row r="95" ht="81.94999694824219" customHeight="1"/>
  </x:sheetData>
  <x:mergeCells>
    <x:mergeCell ref="A1:G1"/>
    <x:mergeCell ref="A2:G2"/>
    <x:mergeCell ref="I1:O1"/>
    <x:mergeCell ref="I2:O2"/>
  </x:mergeCells>
  <x:pageMargins left="0.7" right="0.7" top="0.75" bottom="0.75" header="0.3" footer="0.3"/>
  <x:tableParts count="2">
    <x:tablePart xmlns:r="http://schemas.openxmlformats.org/officeDocument/2006/relationships" r:id="Rdb3af896b9094e60"/>
    <x:tablePart xmlns:r="http://schemas.openxmlformats.org/officeDocument/2006/relationships" r:id="Rad73cfe29bbb42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7" customWidth="1"/>
    <x:col min="2" max="3" width="22" customWidth="1"/>
  </x:cols>
  <x:sheetData>
    <x:row r="1" ht="30" customHeight="1">
      <x:c r="A1" s="34" t="s">
        <x:v>0</x:v>
      </x:c>
      <x:c r="B1" s="34"/>
      <x:c r="C1" s="34"/>
    </x:row>
    <x:row r="3" ht="24" customHeight="1">
      <x:c r="A3" s="1" t="s">
        <x:v>1</x:v>
      </x:c>
      <x:c r="B3" s="2" t="s">
        <x:v>2</x:v>
      </x:c>
      <x:c r="C3" s="3" t="s">
        <x:v>3</x:v>
      </x:c>
    </x:row>
    <x:row r="4" ht="29.100000381469727" customHeight="1">
      <x:c r="A4" s="7" t="s">
        <x:v>4</x:v>
      </x:c>
      <x:c r="B4" s="4" t="n">
        <x:f>COUNTA('DO+DI'!C4:C1000)</x:f>
        <x:v>50</x:v>
      </x:c>
      <x:c r="C4" s="5" t="n">
        <x:f>COUNTA('DO+DI'!K4:K1000)</x:f>
        <x:v>86</x:v>
      </x:c>
    </x:row>
    <x:row r="5" ht="29.100000381469727" customHeight="1">
      <x:c r="A5" s="7" t="s">
        <x:v>5</x:v>
      </x:c>
      <x:c r="B5" s="4">
        <x:v>16</x:v>
      </x:c>
      <x:c r="C5" s="5">
        <x:v>16</x:v>
      </x:c>
    </x:row>
    <x:row r="6" ht="29.100000381469727" customHeight="1">
      <x:c r="A6" s="7" t="s">
        <x:v>6</x:v>
      </x:c>
      <x:c r="B6" s="4" t="s">
        <x:v>7</x:v>
      </x:c>
      <x:c r="C6" s="5" t="s">
        <x:v>8</x:v>
      </x:c>
    </x:row>
    <x:row r="7" ht="29.100000381469727" customHeight="1">
      <x:c r="A7" s="7" t="s">
        <x:v>9</x:v>
      </x:c>
      <x:c r="B7" s="4">
        <x:v>16</x:v>
      </x:c>
      <x:c r="C7" s="5">
        <x:v>32</x:v>
      </x:c>
    </x:row>
    <x:row r="8" ht="29.100000381469727" customHeight="1">
      <x:c r="A8" s="7" t="s">
        <x:v>10</x:v>
      </x:c>
      <x:c r="B8" s="6" t="n">
        <x:v>2</x:v>
      </x:c>
      <x:c r="C8" s="6" t="n">
        <x:v>2</x:v>
      </x:c>
    </x:row>
    <x:row r="9" ht="29.100000381469727" customHeight="1">
      <x:c r="A9" s="7" t="s">
        <x:v>11</x:v>
      </x:c>
      <x:c r="B9" s="4" t="n">
        <x:f>B5+B7*B8</x:f>
        <x:v>48</x:v>
      </x:c>
      <x:c r="C9" s="5" t="n">
        <x:f>C5+C7*C8</x:f>
        <x:v>80</x:v>
      </x:c>
    </x:row>
    <x:row r="10" ht="29.100000381469727" customHeight="1">
      <x:c r="A10" s="7" t="s">
        <x:v>12</x:v>
      </x:c>
      <x:c r="B10" s="4" t="n">
        <x:f>B9-B4</x:f>
        <x:v>-2</x:v>
      </x:c>
      <x:c r="C10" s="5" t="n">
        <x:f>C9-C4</x:f>
        <x:v>-6</x:v>
      </x:c>
    </x:row>
    <x:row r="11" ht="29.100000381469727" customHeight="1">
      <x:c r="A11" s="7" t="s">
        <x:v>13</x:v>
      </x:c>
      <x:c r="B11" s="4" t="n">
        <x:f>MAX(0,ROUNDUP((B4-B9)/B7,0))</x:f>
        <x:v>1</x:v>
      </x:c>
      <x:c r="C11" s="5" t="n">
        <x:f>MAX(0,ROUNDUP((C4-C9)/C7,0))</x:f>
        <x:v>1</x:v>
      </x:c>
    </x:row>
    <x:row r="12" ht="29.100000381469727" customHeight="1">
      <x:c r="A12" s="8" t="s">
        <x:v>14</x:v>
      </x:c>
      <x:c r="B12" s="9">
        <x:v>0</x:v>
      </x:c>
      <x:c r="C12" s="9">
        <x:v>2</x:v>
      </x:c>
    </x:row>
    <x:row r="13" ht="29.100000381469727" customHeight="1">
      <x:c r="A13" s="10" t="s">
        <x:v>15</x:v>
      </x:c>
      <x:c r="B13" s="11" t="n">
        <x:f>B4</x:f>
        <x:v>50</x:v>
      </x:c>
      <x:c r="C13" s="11" t="n">
        <x:f>C4-C12</x:f>
        <x:v>84</x:v>
      </x:c>
    </x:row>
    <x:row r="14" ht="62" customHeight="1">
      <x:c r="A14" s="33" t="str">
        <x:v>Итого 50 DO и 86 DI, включая два быстрых канала MPG. Незаполненный адрес означает отсутствие отдельного канала PLC.</x:v>
      </x:c>
      <x:c r="B14" s="33"/>
      <x:c r="C14" s="33"/>
    </x:row>
    <x:row r="15" ht="62" customHeight="1">
      <x:c r="A15" s="33" t="str">
        <x:v>Установлено 80 DI / 48 DO: не хватает 6 DI и 2 DO. Требуются ещё 1×GL200-DI32 и 1×GL200-DQ16D. При трёх модулях каждого типа ёмкость 112 DI / 64 DO.</x:v>
      </x:c>
      <x:c r="B15" s="33"/>
      <x:c r="C15" s="33"/>
    </x:row>
    <x:row r="16" ht="62" customHeight="1">
      <x:c r="A16" s="33" t="str">
        <x:v>ГК — отдельный синий конвейер каждого магазина. У ГК 1 и ГК 2 свои DI Авария/Работа, DO Пуск/Стоп и Сброс, а также отдельный датчик детали на конце.</x:v>
      </x:c>
      <x:c r="B16" s="33"/>
      <x:c r="C16" s="33"/>
    </x:row>
    <x:row r="17" ht="62" customHeight="1">
      <x:c r="A17" s="33" t="str">
        <x:v>ГК 1: DI32 №2 CH26–28, %IX265.2/.3/.4. ГК 2: DI32 №2 CH29–31, %IX265.5/.6/.7. Все шесть входов ГК помещаются во второй DI32.</x:v>
      </x:c>
      <x:c r="B17" s="33"/>
      <x:c r="C17" s="33"/>
    </x:row>
    <x:row r="18" ht="62" customHeight="1">
      <x:c r="A18" s="33" t="str">
        <x:v>Герконы магазина 2: отсутствующий DI32 №3 CH0–5, %IX266.0–.5. Новые DO второго ГК: отсутствующий DQ16D №3 CH0/1, %QX262.0/.1.</x:v>
      </x:c>
      <x:c r="B18" s="33"/>
      <x:c r="C18" s="33"/>
    </x:row>
    <x:row r="19" ht="62" customHeight="1">
      <x:c r="A19" s="33" t="str">
        <x:v>Технологического FB ГК пока нет: четыре команды частотников всегда FALSE, драйверные DI — сырые BOOL. Датчики детали фильтруются в axGkPartAtEnd[1/2]; потеря положения проходит сразу.</x:v>
      </x:c>
      <x:c r="B19" s="33"/>
      <x:c r="C19" s="33"/>
    </x:row>
    <x:row r="20" ht="62" customHeight="1">
      <x:c r="A20" s="33" t="str">
        <x:v>NORMAL использует физические I/O при xMappingVerified. Операторские двери ручные: только обратные статусы. Команды двери остаются в тестовой модели; авария ячейки в станок — резерв.</x:v>
      </x:c>
      <x:c r="B20" s="33"/>
      <x:c r="C20" s="33"/>
    </x:row>
    <x:row r="21" ht="62" customHeight="1">
      <x:c r="A21" s="33" t="str">
        <x:v>Адреса — план с базой байта 256. В CODESYS Device I/O Mapping назначить существующие Application.GVL_PHYSICAL_IO.&lt;имя&gt;; AT не дублировать. Гудок 0–60 с, фильтры 0–5000 мс настраиваются через настройки ячейки.</x:v>
      </x:c>
      <x:c r="B21" s="33"/>
      <x:c r="C21" s="33"/>
    </x:row>
    <x:row r="22" ht="62" customHeight="1">
      <x:c r="A22" s="33" t="str">
        <x:v>Концевики/Home магазинов подключены к серводрайверам и приведены только на листе сверки. PLC ждёт MC_Home.Done/Homed/Standstill по EtherCAT. Фазы MPG требуют аппаратного счётчика; обработка ещё отсутствует.</x:v>
      </x:c>
      <x:c r="B22" s="33"/>
      <x:c r="C22" s="33"/>
    </x:row>
  </x:sheetData>
  <x:mergeCells>
    <x:mergeCell ref="A1:C1"/>
    <x:mergeCell ref="A14:C14"/>
    <x:mergeCell ref="A15:C15"/>
    <x:mergeCell ref="A16:C16"/>
    <x:mergeCell ref="A17:C17"/>
    <x:mergeCell ref="A18:C18"/>
    <x:mergeCell ref="A19:C19"/>
    <x:mergeCell ref="A20:C20"/>
    <x:mergeCell ref="A21:C21"/>
    <x:mergeCell ref="A22:C22"/>
  </x:mergeCells>
  <x:conditionalFormatting sqref="B10:C10">
    <x:cfRule type="cellIs" dxfId="4" priority="1" operator="lessThan">
      <x:formula>0</x:formula>
    </x:cfRule>
    <x:cfRule type="cellIs" dxfId="3" priority="2" operator="greaterThanOrEqual">
      <x:formula>0</x:formula>
    </x:cfRule>
    <x:cfRule type="cellIs" dxfId="2" priority="5" operator="lessThan">
      <x:formula>0</x:formula>
    </x:cfRule>
  </x:conditionalFormatting>
  <x:conditionalFormatting sqref="B11:C11">
    <x:cfRule type="cellIs" dxfId="1" priority="3" operator="greaterThan">
      <x:formula>0</x:formula>
    </x:cfRule>
    <x:cfRule type="cellIs" priority="4">
      <x:formula>0</x:formula>
    </x:cfRule>
    <x:cfRule type="cellIs" dxfId="0" priority="6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35" hidden="0" customWidth="1"/>
    <x:col min="4" max="4" width="19" hidden="0" customWidth="1"/>
    <x:col min="5" max="5" width="55" hidden="0" customWidth="1"/>
    <x:col min="6" max="6" width="47" hidden="0" customWidth="1"/>
    <x:col min="7" max="7" width="17" hidden="0" customWidth="1"/>
    <x:col min="8" max="8" width="34" hidden="0" customWidth="1"/>
    <x:col min="9" max="9" width="55" hidden="0" customWidth="1"/>
  </x:cols>
  <x:sheetData>
    <x:row r="1" ht="30" customHeight="1">
      <x:c r="A1" s="35" t="str">
        <x:v>Сверка сигналов PLC · два независимых конвейера ГК</x:v>
      </x:c>
      <x:c r="B1" s="35"/>
      <x:c r="C1" s="35"/>
      <x:c r="D1" s="35"/>
      <x:c r="E1" s="35"/>
      <x:c r="F1" s="35"/>
      <x:c r="G1" s="35"/>
      <x:c r="H1" s="35"/>
      <x:c r="I1" s="35"/>
    </x:row>
    <x:row r="2" ht="28" customHeight="1">
      <x:c r="A2" s="12" t="str">
        <x:v>В основном листе сохранены твои строки ГК и датчиков; добавлены отдельные DO второго ГК. Драйверные датчики Home/концевиков остаются здесь, без DI MC522.</x:v>
      </x:c>
      <x:c r="B2" s="12"/>
      <x:c r="C2" s="12"/>
      <x:c r="D2" s="12"/>
      <x:c r="E2" s="12"/>
      <x:c r="F2" s="12"/>
      <x:c r="G2" s="12"/>
      <x:c r="H2" s="12"/>
      <x:c r="I2" s="12"/>
    </x:row>
    <x:row r="3" ht="28" customHeight="1">
      <x:c r="A3" s="12" t="str">
        <x:v>Установлено 2×DI32 и 2×DQ16D. Для полного плана требуется по 3 модуля каждого типа. Адреса плановые; наличие PLC-имени не подтверждает установленную клемму.</x:v>
      </x:c>
      <x:c r="B3" s="12"/>
      <x:c r="C3" s="12"/>
      <x:c r="D3" s="12"/>
      <x:c r="E3" s="12"/>
      <x:c r="F3" s="12"/>
      <x:c r="G3" s="12"/>
      <x:c r="H3" s="12"/>
      <x:c r="I3" s="12"/>
    </x:row>
    <x:row r="5" ht="36" customHeight="1">
      <x:c r="A5" s="68" t="str">
        <x:v>I/O</x:v>
      </x:c>
      <x:c r="B5" s="68" t="str">
        <x:v>Строка DO+DI</x:v>
      </x:c>
      <x:c r="C5" s="68" t="str">
        <x:v>Сигнал</x:v>
      </x:c>
      <x:c r="D5" s="68" t="str">
        <x:v>Статус</x:v>
      </x:c>
      <x:c r="E5" s="68" t="str">
        <x:v>Логический потребитель / источник</x:v>
      </x:c>
      <x:c r="F5" s="68" t="str">
        <x:v>Имя для I/O Mapping</x:v>
      </x:c>
      <x:c r="G5" s="68" t="str">
        <x:v>Адрес (план)</x:v>
      </x:c>
      <x:c r="H5" s="68" t="str">
        <x:v>Подключение</x:v>
      </x:c>
      <x:c r="I5" s="68" t="str">
        <x:v>Назначение / примечание</x:v>
      </x:c>
    </x:row>
    <x:row r="6" ht="46" customHeight="1">
      <x:c r="A6" s="13" t="str">
        <x:v>DO</x:v>
      </x:c>
      <x:c r="B6" s="13" t="n">
        <x:v>4</x:v>
      </x:c>
      <x:c r="C6" s="13" t="str">
        <x:v>Открыть роботный люк/Закрыть роботный люк</x:v>
      </x:c>
      <x:c r="D6" s="13" t="str">
        <x:v>есть в ПЛК</x:v>
      </x:c>
      <x:c r="E6" s="13" t="str">
        <x:v>GVL_MACHINE.Command[1].stIo.xOpenDoor/xCloseDoor</x:v>
      </x:c>
      <x:c r="F6" s="13" t="str">
        <x:v>GVL_PHYSICAL_IO.xDoMachine1HatchClosed</x:v>
      </x:c>
      <x:c r="G6" s="13" t="str">
        <x:v>%QX256.0</x:v>
      </x:c>
      <x:c r="H6" s="13" t="str">
        <x:v>MC522: DO_CH0</x:v>
      </x:c>
      <x:c r="I6" s="13" t="str">
        <x:v>0 — открыть люк; 1 — закрыть. Уровень удерживается между командами.</x:v>
      </x:c>
    </x:row>
    <x:row r="7" ht="44" customHeight="1">
      <x:c r="A7" s="14" t="str">
        <x:v>DO</x:v>
      </x:c>
      <x:c r="B7" s="14" t="n">
        <x:v>5</x:v>
      </x:c>
      <x:c r="C7" s="14" t="str">
        <x:v>Открыть замок люка</x:v>
      </x:c>
      <x:c r="D7" s="14" t="str">
        <x:v>есть в ПЛК</x:v>
      </x:c>
      <x:c r="E7" s="14" t="str">
        <x:v>GVL_MACHINE.Command[1].stIo.xHatchUnLock</x:v>
      </x:c>
      <x:c r="F7" s="14" t="str">
        <x:v>GVL_PHYSICAL_IO.xDoMachine1HatchUnLock</x:v>
      </x:c>
      <x:c r="G7" s="14" t="str">
        <x:v>%QX256.1</x:v>
      </x:c>
      <x:c r="H7" s="14" t="str">
        <x:v>MC522: DO_CH1</x:v>
      </x:c>
      <x:c r="I7" s="14" t="str">
        <x:v>1 — команда активна</x:v>
      </x:c>
    </x:row>
    <x:row r="8" ht="44" customHeight="1">
      <x:c r="A8" s="14" t="str">
        <x:v>DO</x:v>
      </x:c>
      <x:c r="B8" s="14" t="n">
        <x:v>6</x:v>
      </x:c>
      <x:c r="C8" s="14" t="str">
        <x:v>Зажать патрон</x:v>
      </x:c>
      <x:c r="D8" s="14" t="str">
        <x:v>есть в ПЛК</x:v>
      </x:c>
      <x:c r="E8" s="14" t="str">
        <x:v>GVL_MACHINE.Command[1].stIo.xClampChuck</x:v>
      </x:c>
      <x:c r="F8" s="14" t="str">
        <x:v>GVL_PHYSICAL_IO.xDoMachine1ClampChuck</x:v>
      </x:c>
      <x:c r="G8" s="14" t="str">
        <x:v>%QX256.2</x:v>
      </x:c>
      <x:c r="H8" s="14" t="str">
        <x:v>MC522: DO_CH2</x:v>
      </x:c>
      <x:c r="I8" s="14" t="str">
        <x:v>1 — команда активна</x:v>
      </x:c>
    </x:row>
    <x:row r="9" ht="44" customHeight="1">
      <x:c r="A9" s="14" t="str">
        <x:v>DO</x:v>
      </x:c>
      <x:c r="B9" s="14" t="n">
        <x:v>7</x:v>
      </x:c>
      <x:c r="C9" s="14" t="str">
        <x:v>Разжать патрон</x:v>
      </x:c>
      <x:c r="D9" s="14" t="str">
        <x:v>есть в ПЛК</x:v>
      </x:c>
      <x:c r="E9" s="14" t="str">
        <x:v>GVL_MACHINE.Command[1].stIo.xUnclampChuck</x:v>
      </x:c>
      <x:c r="F9" s="14" t="str">
        <x:v>GVL_PHYSICAL_IO.xDoMachine1UnclampChuck</x:v>
      </x:c>
      <x:c r="G9" s="14" t="str">
        <x:v>%QX256.3</x:v>
      </x:c>
      <x:c r="H9" s="14" t="str">
        <x:v>MC522: DO_CH3</x:v>
      </x:c>
      <x:c r="I9" s="14" t="str">
        <x:v>1 — команда активна</x:v>
      </x:c>
    </x:row>
    <x:row r="10" ht="44" customHeight="1">
      <x:c r="A10" s="14" t="str">
        <x:v>DO</x:v>
      </x:c>
      <x:c r="B10" s="14" t="n">
        <x:v>8</x:v>
      </x:c>
      <x:c r="C10" s="14" t="str">
        <x:v>Запустить обработку</x:v>
      </x:c>
      <x:c r="D10" s="14" t="str">
        <x:v>есть в ПЛК</x:v>
      </x:c>
      <x:c r="E10" s="14" t="str">
        <x:v>GVL_MACHINE.Command[1].stIo.xStartCycle</x:v>
      </x:c>
      <x:c r="F10" s="14" t="str">
        <x:v>GVL_PHYSICAL_IO.xDoMachine1StartCycle</x:v>
      </x:c>
      <x:c r="G10" s="14" t="str">
        <x:v>%QX256.4</x:v>
      </x:c>
      <x:c r="H10" s="14" t="str">
        <x:v>MC522: DO_CH4</x:v>
      </x:c>
      <x:c r="I10" s="14" t="str">
        <x:v>1 — команда активна</x:v>
      </x:c>
    </x:row>
    <x:row r="11" ht="46" customHeight="1">
      <x:c r="A11" s="14" t="str">
        <x:v>DO</x:v>
      </x:c>
      <x:c r="B11" s="14" t="n">
        <x:v>9</x:v>
      </x:c>
      <x:c r="C11" s="14" t="str">
        <x:v>Резерв — Авария ячейки в станок</x:v>
      </x:c>
      <x:c r="D11" s="14" t="str">
        <x:v>есть в ПЛК</x:v>
      </x:c>
      <x:c r="E11" s="14" t="str">
        <x:v>GVL_PHYSICAL_IO.xDoMachine1CellAlarmReserve</x:v>
      </x:c>
      <x:c r="F11" s="14" t="str">
        <x:v>GVL_PHYSICAL_IO.xDoMachine1CellAlarmReserve</x:v>
      </x:c>
      <x:c r="G11" s="14" t="str">
        <x:v>%QX260.4</x:v>
      </x:c>
      <x:c r="H11" s="14" t="str">
        <x:v>GL200-DQ16D #2: CH4</x:v>
      </x:c>
      <x:c r="I11" s="14" t="str">
        <x:v>Резерв выхода; принудительно FALSE. Локальный сброс влияет только на программный автомат станка.</x:v>
      </x:c>
    </x:row>
    <x:row r="12" ht="46" customHeight="1">
      <x:c r="A12" s="14" t="str">
        <x:v>DO</x:v>
      </x:c>
      <x:c r="B12" s="14" t="n">
        <x:v>10</x:v>
      </x:c>
      <x:c r="C12" s="14" t="str">
        <x:v>Открыть роботный люк/Закрыть роботный люк</x:v>
      </x:c>
      <x:c r="D12" s="14" t="str">
        <x:v>есть в ПЛК</x:v>
      </x:c>
      <x:c r="E12" s="14" t="str">
        <x:v>GVL_MACHINE.Command[2].stIo.xOpenDoor/xCloseDoor</x:v>
      </x:c>
      <x:c r="F12" s="14" t="str">
        <x:v>GVL_PHYSICAL_IO.xDoMachine2HatchClosed</x:v>
      </x:c>
      <x:c r="G12" s="14" t="str">
        <x:v>%QX256.5</x:v>
      </x:c>
      <x:c r="H12" s="14" t="str">
        <x:v>MC522: DO_CH5</x:v>
      </x:c>
      <x:c r="I12" s="14" t="str">
        <x:v>0 — открыть люк; 1 — закрыть. Уровень удерживается между командами.</x:v>
      </x:c>
    </x:row>
    <x:row r="13" ht="44" customHeight="1">
      <x:c r="A13" s="14" t="str">
        <x:v>DO</x:v>
      </x:c>
      <x:c r="B13" s="14" t="n">
        <x:v>11</x:v>
      </x:c>
      <x:c r="C13" s="14" t="str">
        <x:v>Открыть замок люка</x:v>
      </x:c>
      <x:c r="D13" s="14" t="str">
        <x:v>есть в ПЛК</x:v>
      </x:c>
      <x:c r="E13" s="14" t="str">
        <x:v>GVL_MACHINE.Command[2].stIo.xHatchUnLock</x:v>
      </x:c>
      <x:c r="F13" s="14" t="str">
        <x:v>GVL_PHYSICAL_IO.xDoMachine2HatchUnLock</x:v>
      </x:c>
      <x:c r="G13" s="14" t="str">
        <x:v>%QX256.6</x:v>
      </x:c>
      <x:c r="H13" s="14" t="str">
        <x:v>MC522: DO_CH6</x:v>
      </x:c>
      <x:c r="I13" s="14" t="str">
        <x:v>1 — команда активна</x:v>
      </x:c>
    </x:row>
    <x:row r="14" ht="44" customHeight="1">
      <x:c r="A14" s="14" t="str">
        <x:v>DO</x:v>
      </x:c>
      <x:c r="B14" s="14" t="n">
        <x:v>12</x:v>
      </x:c>
      <x:c r="C14" s="14" t="str">
        <x:v>Зажать патрон</x:v>
      </x:c>
      <x:c r="D14" s="14" t="str">
        <x:v>есть в ПЛК</x:v>
      </x:c>
      <x:c r="E14" s="14" t="str">
        <x:v>GVL_MACHINE.Command[2].stIo.xClampChuck</x:v>
      </x:c>
      <x:c r="F14" s="14" t="str">
        <x:v>GVL_PHYSICAL_IO.xDoMachine2ClampChuck</x:v>
      </x:c>
      <x:c r="G14" s="14" t="str">
        <x:v>%QX256.7</x:v>
      </x:c>
      <x:c r="H14" s="14" t="str">
        <x:v>MC522: DO_CH7</x:v>
      </x:c>
      <x:c r="I14" s="14" t="str">
        <x:v>1 — команда активна</x:v>
      </x:c>
    </x:row>
    <x:row r="15" ht="44" customHeight="1">
      <x:c r="A15" s="14" t="str">
        <x:v>DO</x:v>
      </x:c>
      <x:c r="B15" s="14" t="n">
        <x:v>13</x:v>
      </x:c>
      <x:c r="C15" s="14" t="str">
        <x:v>Разжать патрон</x:v>
      </x:c>
      <x:c r="D15" s="14" t="str">
        <x:v>есть в ПЛК</x:v>
      </x:c>
      <x:c r="E15" s="14" t="str">
        <x:v>GVL_MACHINE.Command[2].stIo.xUnclampChuck</x:v>
      </x:c>
      <x:c r="F15" s="14" t="str">
        <x:v>GVL_PHYSICAL_IO.xDoMachine2UnclampChuck</x:v>
      </x:c>
      <x:c r="G15" s="14" t="str">
        <x:v>%QX257.0</x:v>
      </x:c>
      <x:c r="H15" s="14" t="str">
        <x:v>MC522: DO_CH8</x:v>
      </x:c>
      <x:c r="I15" s="14" t="str">
        <x:v>1 — команда активна</x:v>
      </x:c>
    </x:row>
    <x:row r="16" ht="44" customHeight="1">
      <x:c r="A16" s="14" t="str">
        <x:v>DO</x:v>
      </x:c>
      <x:c r="B16" s="14" t="n">
        <x:v>14</x:v>
      </x:c>
      <x:c r="C16" s="14" t="str">
        <x:v>Запустить обработку</x:v>
      </x:c>
      <x:c r="D16" s="14" t="str">
        <x:v>есть в ПЛК</x:v>
      </x:c>
      <x:c r="E16" s="14" t="str">
        <x:v>GVL_MACHINE.Command[2].stIo.xStartCycle</x:v>
      </x:c>
      <x:c r="F16" s="14" t="str">
        <x:v>GVL_PHYSICAL_IO.xDoMachine2StartCycle</x:v>
      </x:c>
      <x:c r="G16" s="14" t="str">
        <x:v>%QX257.1</x:v>
      </x:c>
      <x:c r="H16" s="14" t="str">
        <x:v>MC522: DO_CH9</x:v>
      </x:c>
      <x:c r="I16" s="14" t="str">
        <x:v>1 — команда активна</x:v>
      </x:c>
    </x:row>
    <x:row r="17" ht="46" customHeight="1">
      <x:c r="A17" s="14" t="str">
        <x:v>DO</x:v>
      </x:c>
      <x:c r="B17" s="14" t="n">
        <x:v>15</x:v>
      </x:c>
      <x:c r="C17" s="14" t="str">
        <x:v>Резерв — Авария ячейки в станок</x:v>
      </x:c>
      <x:c r="D17" s="14" t="str">
        <x:v>есть в ПЛК</x:v>
      </x:c>
      <x:c r="E17" s="14" t="str">
        <x:v>GVL_PHYSICAL_IO.xDoMachine2CellAlarmReserve</x:v>
      </x:c>
      <x:c r="F17" s="14" t="str">
        <x:v>GVL_PHYSICAL_IO.xDoMachine2CellAlarmReserve</x:v>
      </x:c>
      <x:c r="G17" s="14" t="str">
        <x:v>%QX260.5</x:v>
      </x:c>
      <x:c r="H17" s="14" t="str">
        <x:v>GL200-DQ16D #2: CH5</x:v>
      </x:c>
      <x:c r="I17" s="14" t="str">
        <x:v>Резерв выхода; принудительно FALSE. Локальный сброс влияет только на программный автомат станка.</x:v>
      </x:c>
    </x:row>
    <x:row r="18" ht="46" customHeight="1">
      <x:c r="A18" s="14" t="str">
        <x:v>DO</x:v>
      </x:c>
      <x:c r="B18" s="14" t="n">
        <x:v>16</x:v>
      </x:c>
      <x:c r="C18" s="14" t="str">
        <x:v>Открыть роботный люк/Закрыть роботный люк</x:v>
      </x:c>
      <x:c r="D18" s="14" t="str">
        <x:v>есть в ПЛК</x:v>
      </x:c>
      <x:c r="E18" s="14" t="str">
        <x:v>GVL_MACHINE.Command[3].stIo.xOpenDoor/xCloseDoor</x:v>
      </x:c>
      <x:c r="F18" s="14" t="str">
        <x:v>GVL_PHYSICAL_IO.xDoMachine3HatchClosed</x:v>
      </x:c>
      <x:c r="G18" s="14" t="str">
        <x:v>%QX257.2</x:v>
      </x:c>
      <x:c r="H18" s="14" t="str">
        <x:v>MC522: DO_CH10</x:v>
      </x:c>
      <x:c r="I18" s="14" t="str">
        <x:v>0 — открыть люк; 1 — закрыть. Уровень удерживается между командами.</x:v>
      </x:c>
    </x:row>
    <x:row r="19" ht="44" customHeight="1">
      <x:c r="A19" s="14" t="str">
        <x:v>DO</x:v>
      </x:c>
      <x:c r="B19" s="14" t="n">
        <x:v>17</x:v>
      </x:c>
      <x:c r="C19" s="14" t="str">
        <x:v>Открыть замок люка</x:v>
      </x:c>
      <x:c r="D19" s="14" t="str">
        <x:v>есть в ПЛК</x:v>
      </x:c>
      <x:c r="E19" s="14" t="str">
        <x:v>GVL_MACHINE.Command[3].stIo.xHatchUnLock</x:v>
      </x:c>
      <x:c r="F19" s="14" t="str">
        <x:v>GVL_PHYSICAL_IO.xDoMachine3HatchUnLock</x:v>
      </x:c>
      <x:c r="G19" s="14" t="str">
        <x:v>%QX257.3</x:v>
      </x:c>
      <x:c r="H19" s="14" t="str">
        <x:v>MC522: DO_CH11</x:v>
      </x:c>
      <x:c r="I19" s="14" t="str">
        <x:v>1 — команда активна</x:v>
      </x:c>
    </x:row>
    <x:row r="20" ht="44" customHeight="1">
      <x:c r="A20" s="14" t="str">
        <x:v>DO</x:v>
      </x:c>
      <x:c r="B20" s="14" t="n">
        <x:v>18</x:v>
      </x:c>
      <x:c r="C20" s="14" t="str">
        <x:v>Зажать патрон</x:v>
      </x:c>
      <x:c r="D20" s="14" t="str">
        <x:v>есть в ПЛК</x:v>
      </x:c>
      <x:c r="E20" s="14" t="str">
        <x:v>GVL_MACHINE.Command[3].stIo.xClampChuck</x:v>
      </x:c>
      <x:c r="F20" s="14" t="str">
        <x:v>GVL_PHYSICAL_IO.xDoMachine3ClampChuck</x:v>
      </x:c>
      <x:c r="G20" s="14" t="str">
        <x:v>%QX257.4</x:v>
      </x:c>
      <x:c r="H20" s="14" t="str">
        <x:v>MC522: DO_CH12</x:v>
      </x:c>
      <x:c r="I20" s="14" t="str">
        <x:v>1 — команда активна</x:v>
      </x:c>
    </x:row>
    <x:row r="21" ht="44" customHeight="1">
      <x:c r="A21" s="14" t="str">
        <x:v>DO</x:v>
      </x:c>
      <x:c r="B21" s="14" t="n">
        <x:v>19</x:v>
      </x:c>
      <x:c r="C21" s="14" t="str">
        <x:v>Разжать патрон</x:v>
      </x:c>
      <x:c r="D21" s="14" t="str">
        <x:v>есть в ПЛК</x:v>
      </x:c>
      <x:c r="E21" s="14" t="str">
        <x:v>GVL_MACHINE.Command[3].stIo.xUnclampChuck</x:v>
      </x:c>
      <x:c r="F21" s="14" t="str">
        <x:v>GVL_PHYSICAL_IO.xDoMachine3UnclampChuck</x:v>
      </x:c>
      <x:c r="G21" s="14" t="str">
        <x:v>%QX257.5</x:v>
      </x:c>
      <x:c r="H21" s="14" t="str">
        <x:v>MC522: DO_CH13</x:v>
      </x:c>
      <x:c r="I21" s="14" t="str">
        <x:v>1 — команда активна</x:v>
      </x:c>
    </x:row>
    <x:row r="22" ht="44" customHeight="1">
      <x:c r="A22" s="14" t="str">
        <x:v>DO</x:v>
      </x:c>
      <x:c r="B22" s="14" t="n">
        <x:v>20</x:v>
      </x:c>
      <x:c r="C22" s="14" t="str">
        <x:v>Запустить обработку</x:v>
      </x:c>
      <x:c r="D22" s="14" t="str">
        <x:v>есть в ПЛК</x:v>
      </x:c>
      <x:c r="E22" s="14" t="str">
        <x:v>GVL_MACHINE.Command[3].stIo.xStartCycle</x:v>
      </x:c>
      <x:c r="F22" s="14" t="str">
        <x:v>GVL_PHYSICAL_IO.xDoMachine3StartCycle</x:v>
      </x:c>
      <x:c r="G22" s="14" t="str">
        <x:v>%QX257.6</x:v>
      </x:c>
      <x:c r="H22" s="14" t="str">
        <x:v>MC522: DO_CH14</x:v>
      </x:c>
      <x:c r="I22" s="14" t="str">
        <x:v>1 — команда активна</x:v>
      </x:c>
    </x:row>
    <x:row r="23" ht="46" customHeight="1">
      <x:c r="A23" s="14" t="str">
        <x:v>DO</x:v>
      </x:c>
      <x:c r="B23" s="14" t="n">
        <x:v>21</x:v>
      </x:c>
      <x:c r="C23" s="14" t="str">
        <x:v>Резерв — Авария ячейки в станок</x:v>
      </x:c>
      <x:c r="D23" s="14" t="str">
        <x:v>есть в ПЛК</x:v>
      </x:c>
      <x:c r="E23" s="14" t="str">
        <x:v>GVL_PHYSICAL_IO.xDoMachine3CellAlarmReserve</x:v>
      </x:c>
      <x:c r="F23" s="14" t="str">
        <x:v>GVL_PHYSICAL_IO.xDoMachine3CellAlarmReserve</x:v>
      </x:c>
      <x:c r="G23" s="14" t="str">
        <x:v>%QX260.6</x:v>
      </x:c>
      <x:c r="H23" s="14" t="str">
        <x:v>GL200-DQ16D #2: CH6</x:v>
      </x:c>
      <x:c r="I23" s="14" t="str">
        <x:v>Резерв выхода; принудительно FALSE. Локальный сброс влияет только на программный автомат станка.</x:v>
      </x:c>
    </x:row>
    <x:row r="24" ht="46" customHeight="1">
      <x:c r="A24" s="14" t="str">
        <x:v>DO</x:v>
      </x:c>
      <x:c r="B24" s="14" t="n">
        <x:v>22</x:v>
      </x:c>
      <x:c r="C24" s="14" t="str">
        <x:v>Открыть захват 1 / Закрыть захват 1</x:v>
      </x:c>
      <x:c r="D24" s="14" t="str">
        <x:v>есть в ПЛК</x:v>
      </x:c>
      <x:c r="E24" s="14" t="str">
        <x:v>GVL_PHYSICAL_IO.stGripperCommand.xGripper1Open</x:v>
      </x:c>
      <x:c r="F24" s="14" t="str">
        <x:v>GVL_PHYSICAL_IO.xDoGripper1Open</x:v>
      </x:c>
      <x:c r="G24" s="14" t="str">
        <x:v>%QX257.7</x:v>
      </x:c>
      <x:c r="H24" s="14" t="str">
        <x:v>MC522: DO_CH15</x:v>
      </x:c>
      <x:c r="I24" s="14" t="str">
        <x:v>0 — закрыть; 1 — открыть; используется в SoftMotion NORMAL</x:v>
      </x:c>
    </x:row>
    <x:row r="25" ht="46" customHeight="1">
      <x:c r="A25" s="14" t="str">
        <x:v>DO</x:v>
      </x:c>
      <x:c r="B25" s="14" t="n">
        <x:v>23</x:v>
      </x:c>
      <x:c r="C25" s="14" t="str">
        <x:v>Открыть захват 2 / Закрыть захват 2</x:v>
      </x:c>
      <x:c r="D25" s="14" t="str">
        <x:v>есть в ПЛК</x:v>
      </x:c>
      <x:c r="E25" s="14" t="str">
        <x:v>GVL_PHYSICAL_IO.stGripperCommand.xGripper2Open</x:v>
      </x:c>
      <x:c r="F25" s="14" t="str">
        <x:v>GVL_PHYSICAL_IO.xDoGripper2Open</x:v>
      </x:c>
      <x:c r="G25" s="14" t="str">
        <x:v>%QX258.0</x:v>
      </x:c>
      <x:c r="H25" s="14" t="str">
        <x:v>GL200-DQ16D #1: CH0</x:v>
      </x:c>
      <x:c r="I25" s="14" t="str">
        <x:v>0 — закрыть; 1 — открыть; используется в SoftMotion NORMAL</x:v>
      </x:c>
    </x:row>
    <x:row r="26" ht="46" customHeight="1">
      <x:c r="A26" s="14" t="str">
        <x:v>DO</x:v>
      </x:c>
      <x:c r="B26" s="14" t="n">
        <x:v>24</x:v>
      </x:c>
      <x:c r="C26" s="14" t="str">
        <x:v>Повернуть к заготовке / Повернуть к детали</x:v>
      </x:c>
      <x:c r="D26" s="14" t="str">
        <x:v>есть в ПЛК</x:v>
      </x:c>
      <x:c r="E26" s="14" t="str">
        <x:v>GVL_PHYSICAL_IO.stGripperCommand.xRotateToDetail</x:v>
      </x:c>
      <x:c r="F26" s="14" t="str">
        <x:v>GVL_PHYSICAL_IO.xDoRotateToDetail</x:v>
      </x:c>
      <x:c r="G26" s="14" t="str">
        <x:v>%QX258.1</x:v>
      </x:c>
      <x:c r="H26" s="14" t="str">
        <x:v>GL200-DQ16D #1: CH1</x:v>
      </x:c>
      <x:c r="I26" s="14" t="str">
        <x:v>0 — к заготовке; 1 — к детали; используется в SoftMotion NORMAL</x:v>
      </x:c>
    </x:row>
    <x:row r="27" ht="44" customHeight="1">
      <x:c r="A27" s="14" t="str">
        <x:v>DO</x:v>
      </x:c>
      <x:c r="B27" s="14" t="n">
        <x:v>25</x:v>
      </x:c>
      <x:c r="C27" s="14" t="str">
        <x:v>Открыть замок двери 1</x:v>
      </x:c>
      <x:c r="D27" s="14" t="str">
        <x:v>есть в ПЛК</x:v>
      </x:c>
      <x:c r="E27" s="14" t="str">
        <x:v>GVL_CELL_SAFETY_IO.axDoorUnlockOutput[1]</x:v>
      </x:c>
      <x:c r="F27" s="14" t="str">
        <x:v>GVL_PHYSICAL_IO.xDoDoor1Unlock</x:v>
      </x:c>
      <x:c r="G27" s="14" t="str">
        <x:v>%QX258.2</x:v>
      </x:c>
      <x:c r="H27" s="14" t="str">
        <x:v>GL200-DQ16D #1: CH2</x:v>
      </x:c>
      <x:c r="I27" s="14" t="str">
        <x:v>1 — разблокировать замок двери</x:v>
      </x:c>
    </x:row>
    <x:row r="28" ht="44" customHeight="1">
      <x:c r="A28" s="14" t="str">
        <x:v>DO</x:v>
      </x:c>
      <x:c r="B28" s="14" t="n">
        <x:v>26</x:v>
      </x:c>
      <x:c r="C28" s="14" t="str">
        <x:v>Открыть замок двери 2</x:v>
      </x:c>
      <x:c r="D28" s="14" t="str">
        <x:v>есть в ПЛК</x:v>
      </x:c>
      <x:c r="E28" s="14" t="str">
        <x:v>GVL_CELL_SAFETY_IO.axDoorUnlockOutput[2]</x:v>
      </x:c>
      <x:c r="F28" s="14" t="str">
        <x:v>GVL_PHYSICAL_IO.xDoDoor2Unlock</x:v>
      </x:c>
      <x:c r="G28" s="14" t="str">
        <x:v>%QX258.3</x:v>
      </x:c>
      <x:c r="H28" s="14" t="str">
        <x:v>GL200-DQ16D #1: CH3</x:v>
      </x:c>
      <x:c r="I28" s="14" t="str">
        <x:v>1 — разблокировать замок двери</x:v>
      </x:c>
    </x:row>
    <x:row r="29" ht="44" customHeight="1">
      <x:c r="A29" s="14" t="str">
        <x:v>DO</x:v>
      </x:c>
      <x:c r="B29" s="14" t="n">
        <x:v>27</x:v>
      </x:c>
      <x:c r="C29" s="14" t="str">
        <x:v>Открыть замок двери 3</x:v>
      </x:c>
      <x:c r="D29" s="14" t="str">
        <x:v>есть в ПЛК</x:v>
      </x:c>
      <x:c r="E29" s="14" t="str">
        <x:v>GVL_CELL_SAFETY_IO.axDoorUnlockOutput[3]</x:v>
      </x:c>
      <x:c r="F29" s="14" t="str">
        <x:v>GVL_PHYSICAL_IO.xDoDoor3Unlock</x:v>
      </x:c>
      <x:c r="G29" s="14" t="str">
        <x:v>%QX258.4</x:v>
      </x:c>
      <x:c r="H29" s="14" t="str">
        <x:v>GL200-DQ16D #1: CH4</x:v>
      </x:c>
      <x:c r="I29" s="14" t="str">
        <x:v>1 — разблокировать замок двери</x:v>
      </x:c>
    </x:row>
    <x:row r="30" ht="44" customHeight="1">
      <x:c r="A30" s="14" t="str">
        <x:v>DO</x:v>
      </x:c>
      <x:c r="B30" s="14" t="n">
        <x:v>28</x:v>
      </x:c>
      <x:c r="C30" s="14" t="str">
        <x:v>Открыть замок двери 4</x:v>
      </x:c>
      <x:c r="D30" s="14" t="str">
        <x:v>есть в ПЛК</x:v>
      </x:c>
      <x:c r="E30" s="14" t="str">
        <x:v>GVL_CELL_SAFETY_IO.axDoorUnlockOutput[4]</x:v>
      </x:c>
      <x:c r="F30" s="14" t="str">
        <x:v>GVL_PHYSICAL_IO.xDoDoor4Unlock</x:v>
      </x:c>
      <x:c r="G30" s="14" t="str">
        <x:v>%QX258.5</x:v>
      </x:c>
      <x:c r="H30" s="14" t="str">
        <x:v>GL200-DQ16D #1: CH5</x:v>
      </x:c>
      <x:c r="I30" s="14" t="str">
        <x:v>1 — разблокировать замок двери</x:v>
      </x:c>
    </x:row>
    <x:row r="31" ht="46" customHeight="1">
      <x:c r="A31" s="14" t="str">
        <x:v>DO</x:v>
      </x:c>
      <x:c r="B31" s="14" t="n">
        <x:v>29</x:v>
      </x:c>
      <x:c r="C31" s="14" t="str">
        <x:v>Сигнал сброса на реле безопасности 1</x:v>
      </x:c>
      <x:c r="D31" s="14" t="str">
        <x:v>есть в ПЛК</x:v>
      </x:c>
      <x:c r="E31" s="14" t="str">
        <x:v>GVL_CELL_SAFETY_IO.xSafetyRelayResetOutput</x:v>
      </x:c>
      <x:c r="F31" s="14" t="str">
        <x:v>GVL_PHYSICAL_IO.xDoSafetyRelayReset</x:v>
      </x:c>
      <x:c r="G31" s="14" t="str">
        <x:v>%QX258.6</x:v>
      </x:c>
      <x:c r="H31" s="14" t="str">
        <x:v>GL200-DQ16D #1: CH6</x:v>
      </x:c>
      <x:c r="I31" s="14" t="str">
        <x:v>Импульс сброса реле безопасности; не сброс физической аварии станка</x:v>
      </x:c>
    </x:row>
    <x:row r="32" ht="44" customHeight="1">
      <x:c r="A32" s="14" t="str">
        <x:v>DO</x:v>
      </x:c>
      <x:c r="B32" s="14" t="n">
        <x:v>30</x:v>
      </x:c>
      <x:c r="C32" s="14" t="str">
        <x:v>Зеленый цвет</x:v>
      </x:c>
      <x:c r="D32" s="14" t="str">
        <x:v>есть в ПЛК</x:v>
      </x:c>
      <x:c r="E32" s="14" t="str">
        <x:v>GVL_CELL_SAFETY_IO.xSignalTowerGreenOutput</x:v>
      </x:c>
      <x:c r="F32" s="14" t="str">
        <x:v>GVL_PHYSICAL_IO.xDoSignalTowerGreenOutput</x:v>
      </x:c>
      <x:c r="G32" s="14" t="str">
        <x:v>%QX258.7</x:v>
      </x:c>
      <x:c r="H32" s="14" t="str">
        <x:v>GL200-DQ16D #1: CH7</x:v>
      </x:c>
      <x:c r="I32" s="14" t="str">
        <x:v>Уровень с миганием из PLC_PRG.RunSignalTower</x:v>
      </x:c>
    </x:row>
    <x:row r="33" ht="44" customHeight="1">
      <x:c r="A33" s="14" t="str">
        <x:v>DO</x:v>
      </x:c>
      <x:c r="B33" s="14" t="n">
        <x:v>31</x:v>
      </x:c>
      <x:c r="C33" s="14" t="str">
        <x:v>Желтый цвет</x:v>
      </x:c>
      <x:c r="D33" s="14" t="str">
        <x:v>есть в ПЛК</x:v>
      </x:c>
      <x:c r="E33" s="14" t="str">
        <x:v>GVL_CELL_SAFETY_IO.xSignalTowerAmberOutput</x:v>
      </x:c>
      <x:c r="F33" s="14" t="str">
        <x:v>GVL_PHYSICAL_IO.xDoSignalTowerAmberOutput</x:v>
      </x:c>
      <x:c r="G33" s="14" t="str">
        <x:v>%QX259.0</x:v>
      </x:c>
      <x:c r="H33" s="14" t="str">
        <x:v>GL200-DQ16D #1: CH8</x:v>
      </x:c>
      <x:c r="I33" s="14" t="str">
        <x:v>Уровень с миганием из PLC_PRG.RunSignalTower</x:v>
      </x:c>
    </x:row>
    <x:row r="34" ht="44" customHeight="1">
      <x:c r="A34" s="14" t="str">
        <x:v>DO</x:v>
      </x:c>
      <x:c r="B34" s="14" t="n">
        <x:v>32</x:v>
      </x:c>
      <x:c r="C34" s="14" t="str">
        <x:v>Красный цвет</x:v>
      </x:c>
      <x:c r="D34" s="14" t="str">
        <x:v>есть в ПЛК</x:v>
      </x:c>
      <x:c r="E34" s="14" t="str">
        <x:v>GVL_CELL_SAFETY_IO.xSignalTowerRedOutput</x:v>
      </x:c>
      <x:c r="F34" s="14" t="str">
        <x:v>GVL_PHYSICAL_IO.xDoSignalTowerRedOutput</x:v>
      </x:c>
      <x:c r="G34" s="14" t="str">
        <x:v>%QX259.1</x:v>
      </x:c>
      <x:c r="H34" s="14" t="str">
        <x:v>GL200-DQ16D #1: CH9</x:v>
      </x:c>
      <x:c r="I34" s="14" t="str">
        <x:v>Уровень с миганием из PLC_PRG.RunSignalTower</x:v>
      </x:c>
    </x:row>
    <x:row r="35" ht="46" customHeight="1">
      <x:c r="A35" s="14" t="str">
        <x:v>DO</x:v>
      </x:c>
      <x:c r="B35" s="14" t="n">
        <x:v>33</x:v>
      </x:c>
      <x:c r="C35" s="14" t="str">
        <x:v>Гудок</x:v>
      </x:c>
      <x:c r="D35" s="14" t="str">
        <x:v>есть в ПЛК</x:v>
      </x:c>
      <x:c r="E35" s="14" t="str">
        <x:v>GVL_CELL_SAFETY_IO.xAlarmHornOutput</x:v>
      </x:c>
      <x:c r="F35" s="14" t="str">
        <x:v>GVL_PHYSICAL_IO.xDoCellAlarmHorn</x:v>
      </x:c>
      <x:c r="G35" s="14" t="str">
        <x:v>%QX260.7</x:v>
      </x:c>
      <x:c r="H35" s="14" t="str">
        <x:v>GL200-DQ16D #2: CH7</x:v>
      </x:c>
      <x:c r="I35" s="14" t="str">
        <x:v>Короткий звук при новой аварии; 0–60 с через настройки ячейки, по умолчанию 2 с; 0 отключает звук.</x:v>
      </x:c>
    </x:row>
    <x:row r="36" ht="44" customHeight="1">
      <x:c r="A36" s="14" t="str">
        <x:v>DO</x:v>
      </x:c>
      <x:c r="B36" s="14" t="n">
        <x:v>34</x:v>
      </x:c>
      <x:c r="C36" s="14" t="str">
        <x:v>Световая индикация кнопки 1</x:v>
      </x:c>
      <x:c r="D36" s="14" t="str">
        <x:v>есть в ПЛК</x:v>
      </x:c>
      <x:c r="E36" s="14" t="str">
        <x:v>GVL_CELL_SAFETY_IO.axDoorButtonLampOutput[1]</x:v>
      </x:c>
      <x:c r="F36" s="14" t="str">
        <x:v>GVL_PHYSICAL_IO.xDoDoor1ButtonLamp</x:v>
      </x:c>
      <x:c r="G36" s="14" t="str">
        <x:v>%QX259.2</x:v>
      </x:c>
      <x:c r="H36" s="14" t="str">
        <x:v>GL200-DQ16D #1: CH10</x:v>
      </x:c>
      <x:c r="I36" s="14" t="str">
        <x:v>Готовый уровень индикации из FB_CELL_SAFETY</x:v>
      </x:c>
    </x:row>
    <x:row r="37" ht="44" customHeight="1">
      <x:c r="A37" s="14" t="str">
        <x:v>DO</x:v>
      </x:c>
      <x:c r="B37" s="14" t="n">
        <x:v>35</x:v>
      </x:c>
      <x:c r="C37" s="14" t="str">
        <x:v>Световая индикация кнопки 2</x:v>
      </x:c>
      <x:c r="D37" s="14" t="str">
        <x:v>есть в ПЛК</x:v>
      </x:c>
      <x:c r="E37" s="14" t="str">
        <x:v>GVL_CELL_SAFETY_IO.axDoorButtonLampOutput[2]</x:v>
      </x:c>
      <x:c r="F37" s="14" t="str">
        <x:v>GVL_PHYSICAL_IO.xDoDoor2ButtonLamp</x:v>
      </x:c>
      <x:c r="G37" s="14" t="str">
        <x:v>%QX259.3</x:v>
      </x:c>
      <x:c r="H37" s="14" t="str">
        <x:v>GL200-DQ16D #1: CH11</x:v>
      </x:c>
      <x:c r="I37" s="14" t="str">
        <x:v>Готовый уровень индикации из FB_CELL_SAFETY</x:v>
      </x:c>
    </x:row>
    <x:row r="38" ht="44" customHeight="1">
      <x:c r="A38" s="14" t="str">
        <x:v>DO</x:v>
      </x:c>
      <x:c r="B38" s="14" t="n">
        <x:v>36</x:v>
      </x:c>
      <x:c r="C38" s="14" t="str">
        <x:v>Световая индикация кнопки 3</x:v>
      </x:c>
      <x:c r="D38" s="14" t="str">
        <x:v>есть в ПЛК</x:v>
      </x:c>
      <x:c r="E38" s="14" t="str">
        <x:v>GVL_CELL_SAFETY_IO.axDoorButtonLampOutput[3]</x:v>
      </x:c>
      <x:c r="F38" s="14" t="str">
        <x:v>GVL_PHYSICAL_IO.xDoDoor3ButtonLamp</x:v>
      </x:c>
      <x:c r="G38" s="14" t="str">
        <x:v>%QX259.4</x:v>
      </x:c>
      <x:c r="H38" s="14" t="str">
        <x:v>GL200-DQ16D #1: CH12</x:v>
      </x:c>
      <x:c r="I38" s="14" t="str">
        <x:v>Готовый уровень индикации из FB_CELL_SAFETY</x:v>
      </x:c>
    </x:row>
    <x:row r="39" ht="44" customHeight="1">
      <x:c r="A39" s="14" t="str">
        <x:v>DO</x:v>
      </x:c>
      <x:c r="B39" s="14" t="n">
        <x:v>37</x:v>
      </x:c>
      <x:c r="C39" s="14" t="str">
        <x:v>Световая индикация кнопки 4</x:v>
      </x:c>
      <x:c r="D39" s="14" t="str">
        <x:v>есть в ПЛК</x:v>
      </x:c>
      <x:c r="E39" s="14" t="str">
        <x:v>GVL_CELL_SAFETY_IO.axDoorButtonLampOutput[4]</x:v>
      </x:c>
      <x:c r="F39" s="14" t="str">
        <x:v>GVL_PHYSICAL_IO.xDoDoor4ButtonLamp</x:v>
      </x:c>
      <x:c r="G39" s="14" t="str">
        <x:v>%QX259.5</x:v>
      </x:c>
      <x:c r="H39" s="14" t="str">
        <x:v>GL200-DQ16D #1: CH13</x:v>
      </x:c>
      <x:c r="I39" s="14" t="str">
        <x:v>Готовый уровень индикации из FB_CELL_SAFETY</x:v>
      </x:c>
    </x:row>
    <x:row r="40" ht="46" customHeight="1">
      <x:c r="A40" s="14" t="str">
        <x:v>DO</x:v>
      </x:c>
      <x:c r="B40" s="14" t="n">
        <x:v>38</x:v>
      </x:c>
      <x:c r="C40" s="14" t="str">
        <x:v>Замок втянут (катушка)</x:v>
      </x:c>
      <x:c r="D40" s="14" t="str">
        <x:v>есть в ПЛК</x:v>
      </x:c>
      <x:c r="E40" s="14" t="str">
        <x:v>GVL_TWO_PALLET.astOutput[1].xLockIn</x:v>
      </x:c>
      <x:c r="F40" s="14" t="str">
        <x:v>GVL_PHYSICAL_IO.xDoMagazine1LockIn</x:v>
      </x:c>
      <x:c r="G40" s="14" t="str">
        <x:v>%QX259.6</x:v>
      </x:c>
      <x:c r="H40" s="14" t="str">
        <x:v>GL200-DQ16D #1: CH14</x:v>
      </x:c>
      <x:c r="I40" s="14" t="str">
        <x:v>1 — катушка включена; встречные катушки взаимно исключены</x:v>
      </x:c>
    </x:row>
    <x:row r="41" ht="46" customHeight="1">
      <x:c r="A41" s="14" t="str">
        <x:v>DO</x:v>
      </x:c>
      <x:c r="B41" s="14" t="n">
        <x:v>39</x:v>
      </x:c>
      <x:c r="C41" s="14" t="str">
        <x:v>Замок выдвинут (катушка)</x:v>
      </x:c>
      <x:c r="D41" s="14" t="str">
        <x:v>есть в ПЛК</x:v>
      </x:c>
      <x:c r="E41" s="14" t="str">
        <x:v>GVL_TWO_PALLET.astOutput[1].xLockOut</x:v>
      </x:c>
      <x:c r="F41" s="14" t="str">
        <x:v>GVL_PHYSICAL_IO.xDoMagazine1LockOut</x:v>
      </x:c>
      <x:c r="G41" s="14" t="str">
        <x:v>%QX259.7</x:v>
      </x:c>
      <x:c r="H41" s="14" t="str">
        <x:v>GL200-DQ16D #1: CH15</x:v>
      </x:c>
      <x:c r="I41" s="14" t="str">
        <x:v>1 — катушка включена; встречные катушки взаимно исключены</x:v>
      </x:c>
    </x:row>
    <x:row r="42" ht="46" customHeight="1">
      <x:c r="A42" s="14" t="str">
        <x:v>DO</x:v>
      </x:c>
      <x:c r="B42" s="14" t="n">
        <x:v>40</x:v>
      </x:c>
      <x:c r="C42" s="14" t="str">
        <x:v>Фиксатор выдвинут (катушка)</x:v>
      </x:c>
      <x:c r="D42" s="14" t="str">
        <x:v>есть в ПЛК</x:v>
      </x:c>
      <x:c r="E42" s="14" t="str">
        <x:v>GVL_TWO_PALLET.astOutput[1].xStopIn</x:v>
      </x:c>
      <x:c r="F42" s="14" t="str">
        <x:v>GVL_PHYSICAL_IO.xDoMagazine1StopIn</x:v>
      </x:c>
      <x:c r="G42" s="14" t="str">
        <x:v>%QX260.0</x:v>
      </x:c>
      <x:c r="H42" s="14" t="str">
        <x:v>GL200-DQ16D #2: CH0</x:v>
      </x:c>
      <x:c r="I42" s="14" t="str">
        <x:v>1 — катушка включена; встречные катушки взаимно исключены</x:v>
      </x:c>
    </x:row>
    <x:row r="43" ht="46" customHeight="1">
      <x:c r="A43" s="14" t="str">
        <x:v>DO</x:v>
      </x:c>
      <x:c r="B43" s="14" t="n">
        <x:v>41</x:v>
      </x:c>
      <x:c r="C43" s="14" t="str">
        <x:v>Фиксатор втянут (катушка)</x:v>
      </x:c>
      <x:c r="D43" s="14" t="str">
        <x:v>есть в ПЛК</x:v>
      </x:c>
      <x:c r="E43" s="14" t="str">
        <x:v>GVL_TWO_PALLET.astOutput[1].xStopOut</x:v>
      </x:c>
      <x:c r="F43" s="14" t="str">
        <x:v>GVL_PHYSICAL_IO.xDoMagazine1StopOut</x:v>
      </x:c>
      <x:c r="G43" s="14" t="str">
        <x:v>%QX260.1</x:v>
      </x:c>
      <x:c r="H43" s="14" t="str">
        <x:v>GL200-DQ16D #2: CH1</x:v>
      </x:c>
      <x:c r="I43" s="14" t="str">
        <x:v>1 — катушка включена; встречные катушки взаимно исключены</x:v>
      </x:c>
    </x:row>
    <x:row r="44" ht="46" customHeight="1">
      <x:c r="A44" s="14" t="str">
        <x:v>DO</x:v>
      </x:c>
      <x:c r="B44" s="14" t="n">
        <x:v>42</x:v>
      </x:c>
      <x:c r="C44" s="14" t="str">
        <x:v>Подъёмник вверху (катушка)</x:v>
      </x:c>
      <x:c r="D44" s="14" t="str">
        <x:v>есть в ПЛК</x:v>
      </x:c>
      <x:c r="E44" s="14" t="str">
        <x:v>GVL_TWO_PALLET.astOutput[1].xLiftUp</x:v>
      </x:c>
      <x:c r="F44" s="14" t="str">
        <x:v>GVL_PHYSICAL_IO.xDoMagazine1LiftUp</x:v>
      </x:c>
      <x:c r="G44" s="14" t="str">
        <x:v>%QX260.2</x:v>
      </x:c>
      <x:c r="H44" s="14" t="str">
        <x:v>GL200-DQ16D #2: CH2</x:v>
      </x:c>
      <x:c r="I44" s="14" t="str">
        <x:v>1 — катушка включена; встречные катушки взаимно исключены</x:v>
      </x:c>
    </x:row>
    <x:row r="45" ht="46" customHeight="1">
      <x:c r="A45" s="14" t="str">
        <x:v>DO</x:v>
      </x:c>
      <x:c r="B45" s="14" t="n">
        <x:v>43</x:v>
      </x:c>
      <x:c r="C45" s="14" t="str">
        <x:v>Подъёмник внизу (катушка)</x:v>
      </x:c>
      <x:c r="D45" s="14" t="str">
        <x:v>есть в ПЛК</x:v>
      </x:c>
      <x:c r="E45" s="14" t="str">
        <x:v>GVL_TWO_PALLET.astOutput[1].xLiftDown</x:v>
      </x:c>
      <x:c r="F45" s="14" t="str">
        <x:v>GVL_PHYSICAL_IO.xDoMagazine1LiftDown</x:v>
      </x:c>
      <x:c r="G45" s="14" t="str">
        <x:v>%QX260.3</x:v>
      </x:c>
      <x:c r="H45" s="14" t="str">
        <x:v>GL200-DQ16D #2: CH3</x:v>
      </x:c>
      <x:c r="I45" s="14" t="str">
        <x:v>1 — катушка включена; встречные катушки взаимно исключены</x:v>
      </x:c>
    </x:row>
    <x:row r="46" ht="61" customHeight="1">
      <x:c r="A46" s="14" t="str">
        <x:v>DO</x:v>
      </x:c>
      <x:c r="B46" s="14" t="n">
        <x:v>44</x:v>
      </x:c>
      <x:c r="C46" s="14" t="str">
        <x:v>ГК привод — Пуск / Стоп</x:v>
      </x:c>
      <x:c r="D46" s="14" t="str">
        <x:v>есть в ПЛК</x:v>
      </x:c>
      <x:c r="E46" s="14" t="str">
        <x:v>GVL_PHYSICAL_IO.xDoGk1DriveRun</x:v>
      </x:c>
      <x:c r="F46" s="14" t="str">
        <x:v>GVL_PHYSICAL_IO.xDoGk1DriveRun</x:v>
      </x:c>
      <x:c r="G46" s="14" t="str">
        <x:v>%QX261.0</x:v>
      </x:c>
      <x:c r="H46" s="14" t="str">
        <x:v>GL200-DQ16D #2: CH8</x:v>
      </x:c>
      <x:c r="I46" s="14" t="str">
        <x:v>Физический выход частотника конвейера ГК магазина 1; технологический FB ГК пока не подключён. Выход принудительно FALSE.</x:v>
      </x:c>
    </x:row>
    <x:row r="47" ht="61" customHeight="1">
      <x:c r="A47" s="14" t="str">
        <x:v>DO</x:v>
      </x:c>
      <x:c r="B47" s="14" t="n">
        <x:v>45</x:v>
      </x:c>
      <x:c r="C47" s="14" t="str">
        <x:v>ГК привод — Сброс аварии</x:v>
      </x:c>
      <x:c r="D47" s="14" t="str">
        <x:v>есть в ПЛК</x:v>
      </x:c>
      <x:c r="E47" s="14" t="str">
        <x:v>GVL_PHYSICAL_IO.xDoGk1DriveReset</x:v>
      </x:c>
      <x:c r="F47" s="14" t="str">
        <x:v>GVL_PHYSICAL_IO.xDoGk1DriveReset</x:v>
      </x:c>
      <x:c r="G47" s="14" t="str">
        <x:v>%QX261.1</x:v>
      </x:c>
      <x:c r="H47" s="14" t="str">
        <x:v>GL200-DQ16D #2: CH9</x:v>
      </x:c>
      <x:c r="I47" s="14" t="str">
        <x:v>Физический выход частотника конвейера ГК магазина 1; технологический FB ГК пока не подключён. Выход принудительно FALSE.</x:v>
      </x:c>
    </x:row>
    <x:row r="48" ht="61" customHeight="1">
      <x:c r="A48" s="14" t="str">
        <x:v>DO</x:v>
      </x:c>
      <x:c r="B48" s="14" t="n">
        <x:v>46</x:v>
      </x:c>
      <x:c r="C48" s="14" t="str">
        <x:v>ГК привод — Пуск / Стоп</x:v>
      </x:c>
      <x:c r="D48" s="14" t="str">
        <x:v>есть в ПЛК</x:v>
      </x:c>
      <x:c r="E48" s="14" t="str">
        <x:v>GVL_PHYSICAL_IO.xDoGk2DriveRun</x:v>
      </x:c>
      <x:c r="F48" s="14" t="str">
        <x:v>GVL_PHYSICAL_IO.xDoGk2DriveRun</x:v>
      </x:c>
      <x:c r="G48" s="14" t="str">
        <x:v>%QX262.0</x:v>
      </x:c>
      <x:c r="H48" s="14" t="str">
        <x:v>GL200-DQ16D #3: CH0 — модуль не установлен</x:v>
      </x:c>
      <x:c r="I48" s="14" t="str">
        <x:v>Физический выход частотника конвейера ГК магазина 2; технологический FB ГК пока не подключён. Выход принудительно FALSE.</x:v>
      </x:c>
    </x:row>
    <x:row r="49" ht="61" customHeight="1">
      <x:c r="A49" s="14" t="str">
        <x:v>DO</x:v>
      </x:c>
      <x:c r="B49" s="14" t="n">
        <x:v>47</x:v>
      </x:c>
      <x:c r="C49" s="14" t="str">
        <x:v>ГК привод — Сброс аварии</x:v>
      </x:c>
      <x:c r="D49" s="14" t="str">
        <x:v>есть в ПЛК</x:v>
      </x:c>
      <x:c r="E49" s="14" t="str">
        <x:v>GVL_PHYSICAL_IO.xDoGk2DriveReset</x:v>
      </x:c>
      <x:c r="F49" s="14" t="str">
        <x:v>GVL_PHYSICAL_IO.xDoGk2DriveReset</x:v>
      </x:c>
      <x:c r="G49" s="14" t="str">
        <x:v>%QX262.1</x:v>
      </x:c>
      <x:c r="H49" s="14" t="str">
        <x:v>GL200-DQ16D #3: CH1 — модуль не установлен</x:v>
      </x:c>
      <x:c r="I49" s="14" t="str">
        <x:v>Физический выход частотника конвейера ГК магазина 2; технологический FB ГК пока не подключён. Выход принудительно FALSE.</x:v>
      </x:c>
    </x:row>
    <x:row r="50" ht="46" customHeight="1">
      <x:c r="A50" s="14" t="str">
        <x:v>DO</x:v>
      </x:c>
      <x:c r="B50" s="14" t="n">
        <x:v>48</x:v>
      </x:c>
      <x:c r="C50" s="14" t="str">
        <x:v>Замок втянут (катушка)</x:v>
      </x:c>
      <x:c r="D50" s="14" t="str">
        <x:v>есть в ПЛК</x:v>
      </x:c>
      <x:c r="E50" s="14" t="str">
        <x:v>GVL_TWO_PALLET.astOutput[2].xLockIn</x:v>
      </x:c>
      <x:c r="F50" s="14" t="str">
        <x:v>GVL_PHYSICAL_IO.xDoMagazine2LockIn</x:v>
      </x:c>
      <x:c r="G50" s="14" t="str">
        <x:v>%QX261.2</x:v>
      </x:c>
      <x:c r="H50" s="14" t="str">
        <x:v>GL200-DQ16D #2: CH10</x:v>
      </x:c>
      <x:c r="I50" s="14" t="str">
        <x:v>1 — катушка включена; встречные катушки взаимно исключены</x:v>
      </x:c>
    </x:row>
    <x:row r="51" ht="46" customHeight="1">
      <x:c r="A51" s="14" t="str">
        <x:v>DO</x:v>
      </x:c>
      <x:c r="B51" s="14" t="n">
        <x:v>49</x:v>
      </x:c>
      <x:c r="C51" s="14" t="str">
        <x:v>Замок выдвинут (катушка)</x:v>
      </x:c>
      <x:c r="D51" s="14" t="str">
        <x:v>есть в ПЛК</x:v>
      </x:c>
      <x:c r="E51" s="14" t="str">
        <x:v>GVL_TWO_PALLET.astOutput[2].xLockOut</x:v>
      </x:c>
      <x:c r="F51" s="14" t="str">
        <x:v>GVL_PHYSICAL_IO.xDoMagazine2LockOut</x:v>
      </x:c>
      <x:c r="G51" s="14" t="str">
        <x:v>%QX261.3</x:v>
      </x:c>
      <x:c r="H51" s="14" t="str">
        <x:v>GL200-DQ16D #2: CH11</x:v>
      </x:c>
      <x:c r="I51" s="14" t="str">
        <x:v>1 — катушка включена; встречные катушки взаимно исключены</x:v>
      </x:c>
    </x:row>
    <x:row r="52" ht="46" customHeight="1">
      <x:c r="A52" s="14" t="str">
        <x:v>DO</x:v>
      </x:c>
      <x:c r="B52" s="14" t="n">
        <x:v>50</x:v>
      </x:c>
      <x:c r="C52" s="14" t="str">
        <x:v>Фиксатор выдвинут (катушка)</x:v>
      </x:c>
      <x:c r="D52" s="14" t="str">
        <x:v>есть в ПЛК</x:v>
      </x:c>
      <x:c r="E52" s="14" t="str">
        <x:v>GVL_TWO_PALLET.astOutput[2].xStopIn</x:v>
      </x:c>
      <x:c r="F52" s="14" t="str">
        <x:v>GVL_PHYSICAL_IO.xDoMagazine2StopIn</x:v>
      </x:c>
      <x:c r="G52" s="14" t="str">
        <x:v>%QX261.4</x:v>
      </x:c>
      <x:c r="H52" s="14" t="str">
        <x:v>GL200-DQ16D #2: CH12</x:v>
      </x:c>
      <x:c r="I52" s="14" t="str">
        <x:v>1 — катушка включена; встречные катушки взаимно исключены</x:v>
      </x:c>
    </x:row>
    <x:row r="53" ht="46" customHeight="1">
      <x:c r="A53" s="14" t="str">
        <x:v>DO</x:v>
      </x:c>
      <x:c r="B53" s="14" t="n">
        <x:v>51</x:v>
      </x:c>
      <x:c r="C53" s="14" t="str">
        <x:v>Фиксатор втянут (катушка)</x:v>
      </x:c>
      <x:c r="D53" s="14" t="str">
        <x:v>есть в ПЛК</x:v>
      </x:c>
      <x:c r="E53" s="14" t="str">
        <x:v>GVL_TWO_PALLET.astOutput[2].xStopOut</x:v>
      </x:c>
      <x:c r="F53" s="14" t="str">
        <x:v>GVL_PHYSICAL_IO.xDoMagazine2StopOut</x:v>
      </x:c>
      <x:c r="G53" s="14" t="str">
        <x:v>%QX261.5</x:v>
      </x:c>
      <x:c r="H53" s="14" t="str">
        <x:v>GL200-DQ16D #2: CH13</x:v>
      </x:c>
      <x:c r="I53" s="14" t="str">
        <x:v>1 — катушка включена; встречные катушки взаимно исключены</x:v>
      </x:c>
    </x:row>
    <x:row r="54" ht="46" customHeight="1">
      <x:c r="A54" s="14" t="str">
        <x:v>DO</x:v>
      </x:c>
      <x:c r="B54" s="14" t="n">
        <x:v>52</x:v>
      </x:c>
      <x:c r="C54" s="14" t="str">
        <x:v>Подъёмник вверху (катушка)</x:v>
      </x:c>
      <x:c r="D54" s="14" t="str">
        <x:v>есть в ПЛК</x:v>
      </x:c>
      <x:c r="E54" s="14" t="str">
        <x:v>GVL_TWO_PALLET.astOutput[2].xLiftUp</x:v>
      </x:c>
      <x:c r="F54" s="14" t="str">
        <x:v>GVL_PHYSICAL_IO.xDoMagazine2LiftUp</x:v>
      </x:c>
      <x:c r="G54" s="14" t="str">
        <x:v>%QX261.6</x:v>
      </x:c>
      <x:c r="H54" s="14" t="str">
        <x:v>GL200-DQ16D #2: CH14</x:v>
      </x:c>
      <x:c r="I54" s="14" t="str">
        <x:v>1 — катушка включена; встречные катушки взаимно исключены</x:v>
      </x:c>
    </x:row>
    <x:row r="55" ht="46" customHeight="1">
      <x:c r="A55" s="14" t="str">
        <x:v>DO</x:v>
      </x:c>
      <x:c r="B55" s="14" t="n">
        <x:v>53</x:v>
      </x:c>
      <x:c r="C55" s="14" t="str">
        <x:v>Подъёмник внизу (катушка)</x:v>
      </x:c>
      <x:c r="D55" s="14" t="str">
        <x:v>есть в ПЛК</x:v>
      </x:c>
      <x:c r="E55" s="14" t="str">
        <x:v>GVL_TWO_PALLET.astOutput[2].xLiftDown</x:v>
      </x:c>
      <x:c r="F55" s="14" t="str">
        <x:v>GVL_PHYSICAL_IO.xDoMagazine2LiftDown</x:v>
      </x:c>
      <x:c r="G55" s="14" t="str">
        <x:v>%QX261.7</x:v>
      </x:c>
      <x:c r="H55" s="14" t="str">
        <x:v>GL200-DQ16D #2: CH15</x:v>
      </x:c>
      <x:c r="I55" s="14" t="str">
        <x:v>1 — катушка включена; встречные катушки взаимно исключены</x:v>
      </x:c>
    </x:row>
    <x:row r="56" ht="44" customHeight="1">
      <x:c r="A56" s="14" t="str">
        <x:v>DI</x:v>
      </x:c>
      <x:c r="B56" s="14" t="n">
        <x:v>4</x:v>
      </x:c>
      <x:c r="C56" s="14" t="str">
        <x:v>Станок готов к работе с роботом</x:v>
      </x:c>
      <x:c r="D56" s="14" t="str">
        <x:v>есть в ПЛК</x:v>
      </x:c>
      <x:c r="E56" s="14" t="str">
        <x:v>GVL_MACHINE.astPhysicalInput[1].xReady</x:v>
      </x:c>
      <x:c r="F56" s="14" t="str">
        <x:v>GVL_PHYSICAL_IO.xDiMachine1Ready</x:v>
      </x:c>
      <x:c r="G56" s="14" t="str">
        <x:v>%IX256.2</x:v>
      </x:c>
      <x:c r="H56" s="14" t="str">
        <x:v>MC522: DI_CH2</x:v>
      </x:c>
      <x:c r="I56" s="14" t="str">
        <x:v>1 — указанное состояние; 1→0 без задержки</x:v>
      </x:c>
    </x:row>
    <x:row r="57" ht="46" customHeight="1">
      <x:c r="A57" s="14" t="str">
        <x:v>DI</x:v>
      </x:c>
      <x:c r="B57" s="14" t="n">
        <x:v>5</x:v>
      </x:c>
      <x:c r="C57" s="14" t="str">
        <x:v>Авария станка</x:v>
      </x:c>
      <x:c r="D57" s="14" t="str">
        <x:v>есть в ПЛК</x:v>
      </x:c>
      <x:c r="E57" s="14" t="str">
        <x:v>GVL_MACHINE.astPhysicalInput[1].xAlarm</x:v>
      </x:c>
      <x:c r="F57" s="14" t="str">
        <x:v>GVL_PHYSICAL_IO.xDiMachine1Alarm</x:v>
      </x:c>
      <x:c r="G57" s="14" t="str">
        <x:v>%IX256.3</x:v>
      </x:c>
      <x:c r="H57" s="14" t="str">
        <x:v>MC522: DI_CH3</x:v>
      </x:c>
      <x:c r="I57" s="14" t="str">
        <x:v>1 — авария; снимается физически человеком; 0→1 без задержки</x:v>
      </x:c>
    </x:row>
    <x:row r="58" ht="44" customHeight="1">
      <x:c r="A58" s="14" t="str">
        <x:v>DI</x:v>
      </x:c>
      <x:c r="B58" s="14" t="n">
        <x:v>6</x:v>
      </x:c>
      <x:c r="C58" s="14" t="str">
        <x:v>Роботный люк открыт</x:v>
      </x:c>
      <x:c r="D58" s="14" t="str">
        <x:v>есть в ПЛК</x:v>
      </x:c>
      <x:c r="E58" s="14" t="str">
        <x:v>GVL_MACHINE.astPhysicalInput[1].xDoorOpen</x:v>
      </x:c>
      <x:c r="F58" s="14" t="str">
        <x:v>GVL_PHYSICAL_IO.xDiMachine1DoorOpen</x:v>
      </x:c>
      <x:c r="G58" s="14" t="str">
        <x:v>%IX256.4</x:v>
      </x:c>
      <x:c r="H58" s="14" t="str">
        <x:v>MC522: DI_CH4</x:v>
      </x:c>
      <x:c r="I58" s="14" t="str">
        <x:v>1 — указанное состояние; 1→0 без задержки</x:v>
      </x:c>
    </x:row>
    <x:row r="59" ht="44" customHeight="1">
      <x:c r="A59" s="14" t="str">
        <x:v>DI</x:v>
      </x:c>
      <x:c r="B59" s="14" t="n">
        <x:v>7</x:v>
      </x:c>
      <x:c r="C59" s="14" t="str">
        <x:v>Роботный люк закрыт</x:v>
      </x:c>
      <x:c r="D59" s="14" t="str">
        <x:v>есть в ПЛК</x:v>
      </x:c>
      <x:c r="E59" s="14" t="str">
        <x:v>GVL_MACHINE.astPhysicalInput[1].xDoorClosed</x:v>
      </x:c>
      <x:c r="F59" s="14" t="str">
        <x:v>GVL_PHYSICAL_IO.xDiMachine1DoorClosed</x:v>
      </x:c>
      <x:c r="G59" s="14" t="str">
        <x:v>%IX256.5</x:v>
      </x:c>
      <x:c r="H59" s="14" t="str">
        <x:v>MC522: DI_CH5</x:v>
      </x:c>
      <x:c r="I59" s="14" t="str">
        <x:v>1 — указанное состояние; 1→0 без задержки</x:v>
      </x:c>
    </x:row>
    <x:row r="60" ht="44" customHeight="1">
      <x:c r="A60" s="14" t="str">
        <x:v>DI</x:v>
      </x:c>
      <x:c r="B60" s="14" t="n">
        <x:v>8</x:v>
      </x:c>
      <x:c r="C60" s="14" t="str">
        <x:v>Замок люка закрыт/открыт</x:v>
      </x:c>
      <x:c r="D60" s="14" t="str">
        <x:v>есть в ПЛК</x:v>
      </x:c>
      <x:c r="E60" s="14" t="str">
        <x:v>GVL_MACHINE.astPhysicalInput[1].xHatchLocked</x:v>
      </x:c>
      <x:c r="F60" s="14" t="str">
        <x:v>GVL_PHYSICAL_IO.xDiMachine1HatchLocked</x:v>
      </x:c>
      <x:c r="G60" s="14" t="str">
        <x:v>%IX256.6</x:v>
      </x:c>
      <x:c r="H60" s="14" t="str">
        <x:v>MC522: DI_CH6</x:v>
      </x:c>
      <x:c r="I60" s="14" t="str">
        <x:v>1 — указанное состояние; 1→0 без задержки</x:v>
      </x:c>
    </x:row>
    <x:row r="61" ht="44" customHeight="1">
      <x:c r="A61" s="14" t="str">
        <x:v>DI</x:v>
      </x:c>
      <x:c r="B61" s="14" t="n">
        <x:v>9</x:v>
      </x:c>
      <x:c r="C61" s="14" t="str">
        <x:v>Операторская дверь открыта</x:v>
      </x:c>
      <x:c r="D61" s="14" t="str">
        <x:v>есть в ПЛК</x:v>
      </x:c>
      <x:c r="E61" s="14" t="str">
        <x:v>GVL_MACHINE.astPhysicalInput[1].xSafetyDoorOpen</x:v>
      </x:c>
      <x:c r="F61" s="14" t="str">
        <x:v>GVL_PHYSICAL_IO.xDiMachine1SafetyDoorOpen</x:v>
      </x:c>
      <x:c r="G61" s="14" t="str">
        <x:v>%IX256.7</x:v>
      </x:c>
      <x:c r="H61" s="14" t="str">
        <x:v>MC522: DI_CH7</x:v>
      </x:c>
      <x:c r="I61" s="14" t="str">
        <x:v>1 — указанное состояние; 1→0 без задержки</x:v>
      </x:c>
    </x:row>
    <x:row r="62" ht="46" customHeight="1">
      <x:c r="A62" s="14" t="str">
        <x:v>DI</x:v>
      </x:c>
      <x:c r="B62" s="14" t="n">
        <x:v>10</x:v>
      </x:c>
      <x:c r="C62" s="14" t="str">
        <x:v>Операторская дверь закрыта</x:v>
      </x:c>
      <x:c r="D62" s="14" t="str">
        <x:v>есть в ПЛК</x:v>
      </x:c>
      <x:c r="E62" s="14" t="str">
        <x:v>GVL_MACHINE.astPhysicalInput[1].xSafetyDoorClosed</x:v>
      </x:c>
      <x:c r="F62" s="14" t="str">
        <x:v>GVL_PHYSICAL_IO.xDiMachine1SafetyDoorClosed</x:v>
      </x:c>
      <x:c r="G62" s="14" t="str">
        <x:v>%IX257.0</x:v>
      </x:c>
      <x:c r="H62" s="14" t="str">
        <x:v>MC522: DI_CH8</x:v>
      </x:c>
      <x:c r="I62" s="14" t="str">
        <x:v>1 — указанное состояние; 1→0 без задержки</x:v>
      </x:c>
    </x:row>
    <x:row r="63" ht="44" customHeight="1">
      <x:c r="A63" s="14" t="str">
        <x:v>DI</x:v>
      </x:c>
      <x:c r="B63" s="14" t="n">
        <x:v>11</x:v>
      </x:c>
      <x:c r="C63" s="14" t="str">
        <x:v>Патрон зажат</x:v>
      </x:c>
      <x:c r="D63" s="14" t="str">
        <x:v>есть в ПЛК</x:v>
      </x:c>
      <x:c r="E63" s="14" t="str">
        <x:v>GVL_MACHINE.astPhysicalInput[1].xChuckClamped</x:v>
      </x:c>
      <x:c r="F63" s="14" t="str">
        <x:v>GVL_PHYSICAL_IO.xDiMachine1ChuckClamped</x:v>
      </x:c>
      <x:c r="G63" s="14" t="str">
        <x:v>%IX257.1</x:v>
      </x:c>
      <x:c r="H63" s="14" t="str">
        <x:v>MC522: DI_CH9</x:v>
      </x:c>
      <x:c r="I63" s="14" t="str">
        <x:v>1 — указанное состояние; 1→0 без задержки</x:v>
      </x:c>
    </x:row>
    <x:row r="64" ht="44" customHeight="1">
      <x:c r="A64" s="14" t="str">
        <x:v>DI</x:v>
      </x:c>
      <x:c r="B64" s="14" t="n">
        <x:v>12</x:v>
      </x:c>
      <x:c r="C64" s="14" t="str">
        <x:v>Патрон разжат</x:v>
      </x:c>
      <x:c r="D64" s="14" t="str">
        <x:v>есть в ПЛК</x:v>
      </x:c>
      <x:c r="E64" s="14" t="str">
        <x:v>GVL_MACHINE.astPhysicalInput[1].xChuckUnclamped</x:v>
      </x:c>
      <x:c r="F64" s="14" t="str">
        <x:v>GVL_PHYSICAL_IO.xDiMachine1ChuckUnclamped</x:v>
      </x:c>
      <x:c r="G64" s="14" t="str">
        <x:v>%IX257.2</x:v>
      </x:c>
      <x:c r="H64" s="14" t="str">
        <x:v>MC522: DI_CH10</x:v>
      </x:c>
      <x:c r="I64" s="14" t="str">
        <x:v>1 — указанное состояние; 1→0 без задержки</x:v>
      </x:c>
    </x:row>
    <x:row r="65" ht="44" customHeight="1">
      <x:c r="A65" s="14" t="str">
        <x:v>DI</x:v>
      </x:c>
      <x:c r="B65" s="14" t="n">
        <x:v>13</x:v>
      </x:c>
      <x:c r="C65" s="14" t="str">
        <x:v>Цикл обработки активен</x:v>
      </x:c>
      <x:c r="D65" s="14" t="str">
        <x:v>есть в ПЛК</x:v>
      </x:c>
      <x:c r="E65" s="14" t="str">
        <x:v>GVL_MACHINE.astPhysicalInput[1].xCycleActive</x:v>
      </x:c>
      <x:c r="F65" s="14" t="str">
        <x:v>GVL_PHYSICAL_IO.xDiMachine1CycleActive</x:v>
      </x:c>
      <x:c r="G65" s="14" t="str">
        <x:v>%IX257.3</x:v>
      </x:c>
      <x:c r="H65" s="14" t="str">
        <x:v>MC522: DI_CH11</x:v>
      </x:c>
      <x:c r="I65" s="14" t="str">
        <x:v>1 — указанное состояние</x:v>
      </x:c>
    </x:row>
    <x:row r="66" ht="44" customHeight="1">
      <x:c r="A66" s="14" t="str">
        <x:v>DI</x:v>
      </x:c>
      <x:c r="B66" s="14" t="n">
        <x:v>14</x:v>
      </x:c>
      <x:c r="C66" s="14" t="str">
        <x:v>Цикл обработки завершён</x:v>
      </x:c>
      <x:c r="D66" s="14" t="str">
        <x:v>есть в ПЛК</x:v>
      </x:c>
      <x:c r="E66" s="14" t="str">
        <x:v>GVL_MACHINE.astPhysicalInput[1].xCycleDone</x:v>
      </x:c>
      <x:c r="F66" s="14" t="str">
        <x:v>GVL_PHYSICAL_IO.xDiMachine1CycleDone</x:v>
      </x:c>
      <x:c r="G66" s="14" t="str">
        <x:v>%IX257.4</x:v>
      </x:c>
      <x:c r="H66" s="14" t="str">
        <x:v>MC522: DI_CH12</x:v>
      </x:c>
      <x:c r="I66" s="14" t="str">
        <x:v>1 — указанное состояние</x:v>
      </x:c>
    </x:row>
    <x:row r="67" ht="44" customHeight="1">
      <x:c r="A67" s="14" t="str">
        <x:v>DI</x:v>
      </x:c>
      <x:c r="B67" s="14" t="n">
        <x:v>15</x:v>
      </x:c>
      <x:c r="C67" s="14" t="str">
        <x:v>Станок готов к работе с роботом</x:v>
      </x:c>
      <x:c r="D67" s="14" t="str">
        <x:v>есть в ПЛК</x:v>
      </x:c>
      <x:c r="E67" s="14" t="str">
        <x:v>GVL_MACHINE.astPhysicalInput[2].xReady</x:v>
      </x:c>
      <x:c r="F67" s="14" t="str">
        <x:v>GVL_PHYSICAL_IO.xDiMachine2Ready</x:v>
      </x:c>
      <x:c r="G67" s="14" t="str">
        <x:v>%IX257.5</x:v>
      </x:c>
      <x:c r="H67" s="14" t="str">
        <x:v>MC522: DI_CH13</x:v>
      </x:c>
      <x:c r="I67" s="14" t="str">
        <x:v>1 — указанное состояние; 1→0 без задержки</x:v>
      </x:c>
    </x:row>
    <x:row r="68" ht="46" customHeight="1">
      <x:c r="A68" s="14" t="str">
        <x:v>DI</x:v>
      </x:c>
      <x:c r="B68" s="14" t="n">
        <x:v>16</x:v>
      </x:c>
      <x:c r="C68" s="14" t="str">
        <x:v>Авария станка</x:v>
      </x:c>
      <x:c r="D68" s="14" t="str">
        <x:v>есть в ПЛК</x:v>
      </x:c>
      <x:c r="E68" s="14" t="str">
        <x:v>GVL_MACHINE.astPhysicalInput[2].xAlarm</x:v>
      </x:c>
      <x:c r="F68" s="14" t="str">
        <x:v>GVL_PHYSICAL_IO.xDiMachine2Alarm</x:v>
      </x:c>
      <x:c r="G68" s="14" t="str">
        <x:v>%IX257.6</x:v>
      </x:c>
      <x:c r="H68" s="14" t="str">
        <x:v>MC522: DI_CH14</x:v>
      </x:c>
      <x:c r="I68" s="14" t="str">
        <x:v>1 — авария; снимается физически человеком; 0→1 без задержки</x:v>
      </x:c>
    </x:row>
    <x:row r="69" ht="44" customHeight="1">
      <x:c r="A69" s="14" t="str">
        <x:v>DI</x:v>
      </x:c>
      <x:c r="B69" s="14" t="n">
        <x:v>17</x:v>
      </x:c>
      <x:c r="C69" s="14" t="str">
        <x:v>Роботный люк открыт</x:v>
      </x:c>
      <x:c r="D69" s="14" t="str">
        <x:v>есть в ПЛК</x:v>
      </x:c>
      <x:c r="E69" s="14" t="str">
        <x:v>GVL_MACHINE.astPhysicalInput[2].xDoorOpen</x:v>
      </x:c>
      <x:c r="F69" s="14" t="str">
        <x:v>GVL_PHYSICAL_IO.xDiMachine2DoorOpen</x:v>
      </x:c>
      <x:c r="G69" s="14" t="str">
        <x:v>%IX257.7</x:v>
      </x:c>
      <x:c r="H69" s="14" t="str">
        <x:v>MC522: DI_CH15</x:v>
      </x:c>
      <x:c r="I69" s="14" t="str">
        <x:v>1 — указанное состояние; 1→0 без задержки</x:v>
      </x:c>
    </x:row>
    <x:row r="70" ht="44" customHeight="1">
      <x:c r="A70" s="14" t="str">
        <x:v>DI</x:v>
      </x:c>
      <x:c r="B70" s="14" t="n">
        <x:v>18</x:v>
      </x:c>
      <x:c r="C70" s="14" t="str">
        <x:v>Роботный люк закрыт</x:v>
      </x:c>
      <x:c r="D70" s="14" t="str">
        <x:v>есть в ПЛК</x:v>
      </x:c>
      <x:c r="E70" s="14" t="str">
        <x:v>GVL_MACHINE.astPhysicalInput[2].xDoorClosed</x:v>
      </x:c>
      <x:c r="F70" s="14" t="str">
        <x:v>GVL_PHYSICAL_IO.xDiMachine2DoorClosed</x:v>
      </x:c>
      <x:c r="G70" s="14" t="str">
        <x:v>%IX258.0</x:v>
      </x:c>
      <x:c r="H70" s="14" t="str">
        <x:v>GL200-DI32 #1: CH0</x:v>
      </x:c>
      <x:c r="I70" s="14" t="str">
        <x:v>1 — указанное состояние; 1→0 без задержки</x:v>
      </x:c>
    </x:row>
    <x:row r="71" ht="44" customHeight="1">
      <x:c r="A71" s="14" t="str">
        <x:v>DI</x:v>
      </x:c>
      <x:c r="B71" s="14" t="n">
        <x:v>19</x:v>
      </x:c>
      <x:c r="C71" s="14" t="str">
        <x:v>Замок люка закрыт/открыт</x:v>
      </x:c>
      <x:c r="D71" s="14" t="str">
        <x:v>есть в ПЛК</x:v>
      </x:c>
      <x:c r="E71" s="14" t="str">
        <x:v>GVL_MACHINE.astPhysicalInput[2].xHatchLocked</x:v>
      </x:c>
      <x:c r="F71" s="14" t="str">
        <x:v>GVL_PHYSICAL_IO.xDiMachine2HatchLocked</x:v>
      </x:c>
      <x:c r="G71" s="14" t="str">
        <x:v>%IX258.1</x:v>
      </x:c>
      <x:c r="H71" s="14" t="str">
        <x:v>GL200-DI32 #1: CH1</x:v>
      </x:c>
      <x:c r="I71" s="14" t="str">
        <x:v>1 — указанное состояние; 1→0 без задержки</x:v>
      </x:c>
    </x:row>
    <x:row r="72" ht="44" customHeight="1">
      <x:c r="A72" s="14" t="str">
        <x:v>DI</x:v>
      </x:c>
      <x:c r="B72" s="14" t="n">
        <x:v>20</x:v>
      </x:c>
      <x:c r="C72" s="14" t="str">
        <x:v>Операторская дверь открыта</x:v>
      </x:c>
      <x:c r="D72" s="14" t="str">
        <x:v>есть в ПЛК</x:v>
      </x:c>
      <x:c r="E72" s="14" t="str">
        <x:v>GVL_MACHINE.astPhysicalInput[2].xSafetyDoorOpen</x:v>
      </x:c>
      <x:c r="F72" s="14" t="str">
        <x:v>GVL_PHYSICAL_IO.xDiMachine2SafetyDoorOpen</x:v>
      </x:c>
      <x:c r="G72" s="14" t="str">
        <x:v>%IX258.2</x:v>
      </x:c>
      <x:c r="H72" s="14" t="str">
        <x:v>GL200-DI32 #1: CH2</x:v>
      </x:c>
      <x:c r="I72" s="14" t="str">
        <x:v>1 — указанное состояние; 1→0 без задержки</x:v>
      </x:c>
    </x:row>
    <x:row r="73" ht="46" customHeight="1">
      <x:c r="A73" s="14" t="str">
        <x:v>DI</x:v>
      </x:c>
      <x:c r="B73" s="14" t="n">
        <x:v>21</x:v>
      </x:c>
      <x:c r="C73" s="14" t="str">
        <x:v>Операторская дверь закрыта</x:v>
      </x:c>
      <x:c r="D73" s="14" t="str">
        <x:v>есть в ПЛК</x:v>
      </x:c>
      <x:c r="E73" s="14" t="str">
        <x:v>GVL_MACHINE.astPhysicalInput[2].xSafetyDoorClosed</x:v>
      </x:c>
      <x:c r="F73" s="14" t="str">
        <x:v>GVL_PHYSICAL_IO.xDiMachine2SafetyDoorClosed</x:v>
      </x:c>
      <x:c r="G73" s="14" t="str">
        <x:v>%IX258.3</x:v>
      </x:c>
      <x:c r="H73" s="14" t="str">
        <x:v>GL200-DI32 #1: CH3</x:v>
      </x:c>
      <x:c r="I73" s="14" t="str">
        <x:v>1 — указанное состояние; 1→0 без задержки</x:v>
      </x:c>
    </x:row>
    <x:row r="74" ht="44" customHeight="1">
      <x:c r="A74" s="14" t="str">
        <x:v>DI</x:v>
      </x:c>
      <x:c r="B74" s="14" t="n">
        <x:v>22</x:v>
      </x:c>
      <x:c r="C74" s="14" t="str">
        <x:v>Патрон зажат</x:v>
      </x:c>
      <x:c r="D74" s="14" t="str">
        <x:v>есть в ПЛК</x:v>
      </x:c>
      <x:c r="E74" s="14" t="str">
        <x:v>GVL_MACHINE.astPhysicalInput[2].xChuckClamped</x:v>
      </x:c>
      <x:c r="F74" s="14" t="str">
        <x:v>GVL_PHYSICAL_IO.xDiMachine2ChuckClamped</x:v>
      </x:c>
      <x:c r="G74" s="14" t="str">
        <x:v>%IX258.4</x:v>
      </x:c>
      <x:c r="H74" s="14" t="str">
        <x:v>GL200-DI32 #1: CH4</x:v>
      </x:c>
      <x:c r="I74" s="14" t="str">
        <x:v>1 — указанное состояние; 1→0 без задержки</x:v>
      </x:c>
    </x:row>
    <x:row r="75" ht="44" customHeight="1">
      <x:c r="A75" s="14" t="str">
        <x:v>DI</x:v>
      </x:c>
      <x:c r="B75" s="14" t="n">
        <x:v>23</x:v>
      </x:c>
      <x:c r="C75" s="14" t="str">
        <x:v>Патрон разжат</x:v>
      </x:c>
      <x:c r="D75" s="14" t="str">
        <x:v>есть в ПЛК</x:v>
      </x:c>
      <x:c r="E75" s="14" t="str">
        <x:v>GVL_MACHINE.astPhysicalInput[2].xChuckUnclamped</x:v>
      </x:c>
      <x:c r="F75" s="14" t="str">
        <x:v>GVL_PHYSICAL_IO.xDiMachine2ChuckUnclamped</x:v>
      </x:c>
      <x:c r="G75" s="14" t="str">
        <x:v>%IX258.5</x:v>
      </x:c>
      <x:c r="H75" s="14" t="str">
        <x:v>GL200-DI32 #1: CH5</x:v>
      </x:c>
      <x:c r="I75" s="14" t="str">
        <x:v>1 — указанное состояние; 1→0 без задержки</x:v>
      </x:c>
    </x:row>
    <x:row r="76" ht="44" customHeight="1">
      <x:c r="A76" s="14" t="str">
        <x:v>DI</x:v>
      </x:c>
      <x:c r="B76" s="14" t="n">
        <x:v>24</x:v>
      </x:c>
      <x:c r="C76" s="14" t="str">
        <x:v>Цикл обработки активен</x:v>
      </x:c>
      <x:c r="D76" s="14" t="str">
        <x:v>есть в ПЛК</x:v>
      </x:c>
      <x:c r="E76" s="14" t="str">
        <x:v>GVL_MACHINE.astPhysicalInput[2].xCycleActive</x:v>
      </x:c>
      <x:c r="F76" s="14" t="str">
        <x:v>GVL_PHYSICAL_IO.xDiMachine2CycleActive</x:v>
      </x:c>
      <x:c r="G76" s="14" t="str">
        <x:v>%IX258.6</x:v>
      </x:c>
      <x:c r="H76" s="14" t="str">
        <x:v>GL200-DI32 #1: CH6</x:v>
      </x:c>
      <x:c r="I76" s="14" t="str">
        <x:v>1 — указанное состояние</x:v>
      </x:c>
    </x:row>
    <x:row r="77" ht="44" customHeight="1">
      <x:c r="A77" s="14" t="str">
        <x:v>DI</x:v>
      </x:c>
      <x:c r="B77" s="14" t="n">
        <x:v>25</x:v>
      </x:c>
      <x:c r="C77" s="14" t="str">
        <x:v>Цикл обработки завершён</x:v>
      </x:c>
      <x:c r="D77" s="14" t="str">
        <x:v>есть в ПЛК</x:v>
      </x:c>
      <x:c r="E77" s="14" t="str">
        <x:v>GVL_MACHINE.astPhysicalInput[2].xCycleDone</x:v>
      </x:c>
      <x:c r="F77" s="14" t="str">
        <x:v>GVL_PHYSICAL_IO.xDiMachine2CycleDone</x:v>
      </x:c>
      <x:c r="G77" s="14" t="str">
        <x:v>%IX258.7</x:v>
      </x:c>
      <x:c r="H77" s="14" t="str">
        <x:v>GL200-DI32 #1: CH7</x:v>
      </x:c>
      <x:c r="I77" s="14" t="str">
        <x:v>1 — указанное состояние</x:v>
      </x:c>
    </x:row>
    <x:row r="78" ht="44" customHeight="1">
      <x:c r="A78" s="14" t="str">
        <x:v>DI</x:v>
      </x:c>
      <x:c r="B78" s="14" t="n">
        <x:v>26</x:v>
      </x:c>
      <x:c r="C78" s="14" t="str">
        <x:v>Станок готов к работе с роботом</x:v>
      </x:c>
      <x:c r="D78" s="14" t="str">
        <x:v>есть в ПЛК</x:v>
      </x:c>
      <x:c r="E78" s="14" t="str">
        <x:v>GVL_MACHINE.astPhysicalInput[3].xReady</x:v>
      </x:c>
      <x:c r="F78" s="14" t="str">
        <x:v>GVL_PHYSICAL_IO.xDiMachine3Ready</x:v>
      </x:c>
      <x:c r="G78" s="14" t="str">
        <x:v>%IX259.0</x:v>
      </x:c>
      <x:c r="H78" s="14" t="str">
        <x:v>GL200-DI32 #1: CH8</x:v>
      </x:c>
      <x:c r="I78" s="14" t="str">
        <x:v>1 — указанное состояние; 1→0 без задержки</x:v>
      </x:c>
    </x:row>
    <x:row r="79" ht="46" customHeight="1">
      <x:c r="A79" s="14" t="str">
        <x:v>DI</x:v>
      </x:c>
      <x:c r="B79" s="14" t="n">
        <x:v>27</x:v>
      </x:c>
      <x:c r="C79" s="14" t="str">
        <x:v>Авария станка</x:v>
      </x:c>
      <x:c r="D79" s="14" t="str">
        <x:v>есть в ПЛК</x:v>
      </x:c>
      <x:c r="E79" s="14" t="str">
        <x:v>GVL_MACHINE.astPhysicalInput[3].xAlarm</x:v>
      </x:c>
      <x:c r="F79" s="14" t="str">
        <x:v>GVL_PHYSICAL_IO.xDiMachine3Alarm</x:v>
      </x:c>
      <x:c r="G79" s="14" t="str">
        <x:v>%IX259.1</x:v>
      </x:c>
      <x:c r="H79" s="14" t="str">
        <x:v>GL200-DI32 #1: CH9</x:v>
      </x:c>
      <x:c r="I79" s="14" t="str">
        <x:v>1 — авария; снимается физически человеком; 0→1 без задержки</x:v>
      </x:c>
    </x:row>
    <x:row r="80" ht="44" customHeight="1">
      <x:c r="A80" s="14" t="str">
        <x:v>DI</x:v>
      </x:c>
      <x:c r="B80" s="14" t="n">
        <x:v>28</x:v>
      </x:c>
      <x:c r="C80" s="14" t="str">
        <x:v>Роботный люк открыт</x:v>
      </x:c>
      <x:c r="D80" s="14" t="str">
        <x:v>есть в ПЛК</x:v>
      </x:c>
      <x:c r="E80" s="14" t="str">
        <x:v>GVL_MACHINE.astPhysicalInput[3].xDoorOpen</x:v>
      </x:c>
      <x:c r="F80" s="14" t="str">
        <x:v>GVL_PHYSICAL_IO.xDiMachine3DoorOpen</x:v>
      </x:c>
      <x:c r="G80" s="14" t="str">
        <x:v>%IX259.2</x:v>
      </x:c>
      <x:c r="H80" s="14" t="str">
        <x:v>GL200-DI32 #1: CH10</x:v>
      </x:c>
      <x:c r="I80" s="14" t="str">
        <x:v>1 — указанное состояние; 1→0 без задержки</x:v>
      </x:c>
    </x:row>
    <x:row r="81" ht="44" customHeight="1">
      <x:c r="A81" s="14" t="str">
        <x:v>DI</x:v>
      </x:c>
      <x:c r="B81" s="14" t="n">
        <x:v>29</x:v>
      </x:c>
      <x:c r="C81" s="14" t="str">
        <x:v>Роботный люк закрыт</x:v>
      </x:c>
      <x:c r="D81" s="14" t="str">
        <x:v>есть в ПЛК</x:v>
      </x:c>
      <x:c r="E81" s="14" t="str">
        <x:v>GVL_MACHINE.astPhysicalInput[3].xDoorClosed</x:v>
      </x:c>
      <x:c r="F81" s="14" t="str">
        <x:v>GVL_PHYSICAL_IO.xDiMachine3DoorClosed</x:v>
      </x:c>
      <x:c r="G81" s="14" t="str">
        <x:v>%IX259.3</x:v>
      </x:c>
      <x:c r="H81" s="14" t="str">
        <x:v>GL200-DI32 #1: CH11</x:v>
      </x:c>
      <x:c r="I81" s="14" t="str">
        <x:v>1 — указанное состояние; 1→0 без задержки</x:v>
      </x:c>
    </x:row>
    <x:row r="82" ht="44" customHeight="1">
      <x:c r="A82" s="14" t="str">
        <x:v>DI</x:v>
      </x:c>
      <x:c r="B82" s="14" t="n">
        <x:v>30</x:v>
      </x:c>
      <x:c r="C82" s="14" t="str">
        <x:v>Замок люка закрыт/открыт</x:v>
      </x:c>
      <x:c r="D82" s="14" t="str">
        <x:v>есть в ПЛК</x:v>
      </x:c>
      <x:c r="E82" s="14" t="str">
        <x:v>GVL_MACHINE.astPhysicalInput[3].xHatchLocked</x:v>
      </x:c>
      <x:c r="F82" s="14" t="str">
        <x:v>GVL_PHYSICAL_IO.xDiMachine3HatchLocked</x:v>
      </x:c>
      <x:c r="G82" s="14" t="str">
        <x:v>%IX259.4</x:v>
      </x:c>
      <x:c r="H82" s="14" t="str">
        <x:v>GL200-DI32 #1: CH12</x:v>
      </x:c>
      <x:c r="I82" s="14" t="str">
        <x:v>1 — указанное состояние; 1→0 без задержки</x:v>
      </x:c>
    </x:row>
    <x:row r="83" ht="44" customHeight="1">
      <x:c r="A83" s="14" t="str">
        <x:v>DI</x:v>
      </x:c>
      <x:c r="B83" s="14" t="n">
        <x:v>31</x:v>
      </x:c>
      <x:c r="C83" s="14" t="str">
        <x:v>Операторская дверь открыта</x:v>
      </x:c>
      <x:c r="D83" s="14" t="str">
        <x:v>есть в ПЛК</x:v>
      </x:c>
      <x:c r="E83" s="14" t="str">
        <x:v>GVL_MACHINE.astPhysicalInput[3].xSafetyDoorOpen</x:v>
      </x:c>
      <x:c r="F83" s="14" t="str">
        <x:v>GVL_PHYSICAL_IO.xDiMachine3SafetyDoorOpen</x:v>
      </x:c>
      <x:c r="G83" s="14" t="str">
        <x:v>%IX259.5</x:v>
      </x:c>
      <x:c r="H83" s="14" t="str">
        <x:v>GL200-DI32 #1: CH13</x:v>
      </x:c>
      <x:c r="I83" s="14" t="str">
        <x:v>1 — указанное состояние; 1→0 без задержки</x:v>
      </x:c>
    </x:row>
    <x:row r="84" ht="46" customHeight="1">
      <x:c r="A84" s="14" t="str">
        <x:v>DI</x:v>
      </x:c>
      <x:c r="B84" s="14" t="n">
        <x:v>32</x:v>
      </x:c>
      <x:c r="C84" s="14" t="str">
        <x:v>Операторская дверь закрыта</x:v>
      </x:c>
      <x:c r="D84" s="14" t="str">
        <x:v>есть в ПЛК</x:v>
      </x:c>
      <x:c r="E84" s="14" t="str">
        <x:v>GVL_MACHINE.astPhysicalInput[3].xSafetyDoorClosed</x:v>
      </x:c>
      <x:c r="F84" s="14" t="str">
        <x:v>GVL_PHYSICAL_IO.xDiMachine3SafetyDoorClosed</x:v>
      </x:c>
      <x:c r="G84" s="14" t="str">
        <x:v>%IX259.6</x:v>
      </x:c>
      <x:c r="H84" s="14" t="str">
        <x:v>GL200-DI32 #1: CH14</x:v>
      </x:c>
      <x:c r="I84" s="14" t="str">
        <x:v>1 — указанное состояние; 1→0 без задержки</x:v>
      </x:c>
    </x:row>
    <x:row r="85" ht="44" customHeight="1">
      <x:c r="A85" s="14" t="str">
        <x:v>DI</x:v>
      </x:c>
      <x:c r="B85" s="14" t="n">
        <x:v>33</x:v>
      </x:c>
      <x:c r="C85" s="14" t="str">
        <x:v>Патрон зажат</x:v>
      </x:c>
      <x:c r="D85" s="14" t="str">
        <x:v>есть в ПЛК</x:v>
      </x:c>
      <x:c r="E85" s="14" t="str">
        <x:v>GVL_MACHINE.astPhysicalInput[3].xChuckClamped</x:v>
      </x:c>
      <x:c r="F85" s="14" t="str">
        <x:v>GVL_PHYSICAL_IO.xDiMachine3ChuckClamped</x:v>
      </x:c>
      <x:c r="G85" s="14" t="str">
        <x:v>%IX259.7</x:v>
      </x:c>
      <x:c r="H85" s="14" t="str">
        <x:v>GL200-DI32 #1: CH15</x:v>
      </x:c>
      <x:c r="I85" s="14" t="str">
        <x:v>1 — указанное состояние; 1→0 без задержки</x:v>
      </x:c>
    </x:row>
    <x:row r="86" ht="44" customHeight="1">
      <x:c r="A86" s="14" t="str">
        <x:v>DI</x:v>
      </x:c>
      <x:c r="B86" s="14" t="n">
        <x:v>34</x:v>
      </x:c>
      <x:c r="C86" s="14" t="str">
        <x:v>Патрон разжат</x:v>
      </x:c>
      <x:c r="D86" s="14" t="str">
        <x:v>есть в ПЛК</x:v>
      </x:c>
      <x:c r="E86" s="14" t="str">
        <x:v>GVL_MACHINE.astPhysicalInput[3].xChuckUnclamped</x:v>
      </x:c>
      <x:c r="F86" s="14" t="str">
        <x:v>GVL_PHYSICAL_IO.xDiMachine3ChuckUnclamped</x:v>
      </x:c>
      <x:c r="G86" s="14" t="str">
        <x:v>%IX260.0</x:v>
      </x:c>
      <x:c r="H86" s="14" t="str">
        <x:v>GL200-DI32 #1: CH16</x:v>
      </x:c>
      <x:c r="I86" s="14" t="str">
        <x:v>1 — указанное состояние; 1→0 без задержки</x:v>
      </x:c>
    </x:row>
    <x:row r="87" ht="44" customHeight="1">
      <x:c r="A87" s="14" t="str">
        <x:v>DI</x:v>
      </x:c>
      <x:c r="B87" s="14" t="n">
        <x:v>35</x:v>
      </x:c>
      <x:c r="C87" s="14" t="str">
        <x:v>Цикл обработки активен</x:v>
      </x:c>
      <x:c r="D87" s="14" t="str">
        <x:v>есть в ПЛК</x:v>
      </x:c>
      <x:c r="E87" s="14" t="str">
        <x:v>GVL_MACHINE.astPhysicalInput[3].xCycleActive</x:v>
      </x:c>
      <x:c r="F87" s="14" t="str">
        <x:v>GVL_PHYSICAL_IO.xDiMachine3CycleActive</x:v>
      </x:c>
      <x:c r="G87" s="14" t="str">
        <x:v>%IX260.1</x:v>
      </x:c>
      <x:c r="H87" s="14" t="str">
        <x:v>GL200-DI32 #1: CH17</x:v>
      </x:c>
      <x:c r="I87" s="14" t="str">
        <x:v>1 — указанное состояние</x:v>
      </x:c>
    </x:row>
    <x:row r="88" ht="44" customHeight="1">
      <x:c r="A88" s="14" t="str">
        <x:v>DI</x:v>
      </x:c>
      <x:c r="B88" s="14" t="n">
        <x:v>36</x:v>
      </x:c>
      <x:c r="C88" s="14" t="str">
        <x:v>Цикл обработки завершён</x:v>
      </x:c>
      <x:c r="D88" s="14" t="str">
        <x:v>есть в ПЛК</x:v>
      </x:c>
      <x:c r="E88" s="14" t="str">
        <x:v>GVL_MACHINE.astPhysicalInput[3].xCycleDone</x:v>
      </x:c>
      <x:c r="F88" s="14" t="str">
        <x:v>GVL_PHYSICAL_IO.xDiMachine3CycleDone</x:v>
      </x:c>
      <x:c r="G88" s="14" t="str">
        <x:v>%IX260.2</x:v>
      </x:c>
      <x:c r="H88" s="14" t="str">
        <x:v>GL200-DI32 #1: CH18</x:v>
      </x:c>
      <x:c r="I88" s="14" t="str">
        <x:v>1 — указанное состояние</x:v>
      </x:c>
    </x:row>
    <x:row r="89" ht="46" customHeight="1">
      <x:c r="A89" s="14" t="str">
        <x:v>DI</x:v>
      </x:c>
      <x:c r="B89" s="14" t="n">
        <x:v>37</x:v>
      </x:c>
      <x:c r="C89" s="14" t="str">
        <x:v>Захват 1 открыт</x:v>
      </x:c>
      <x:c r="D89" s="14" t="str">
        <x:v>есть в ПЛК</x:v>
      </x:c>
      <x:c r="E89" s="14" t="str">
        <x:v>GVL_PHYSICAL_IO.stGripperFeedback.xGripper1Open</x:v>
      </x:c>
      <x:c r="F89" s="14" t="str">
        <x:v>GVL_PHYSICAL_IO.xDiGripper1Open</x:v>
      </x:c>
      <x:c r="G89" s="14" t="str">
        <x:v>%IX260.3</x:v>
      </x:c>
      <x:c r="H89" s="14" t="str">
        <x:v>GL200-DI32 #1: CH19</x:v>
      </x:c>
      <x:c r="I89" s="14" t="str">
        <x:v>1 — указанная позиция; в Modbus источником остаётся SC-500; 1→0 без задержки</x:v>
      </x:c>
    </x:row>
    <x:row r="90" ht="46" customHeight="1">
      <x:c r="A90" s="14" t="str">
        <x:v>DI</x:v>
      </x:c>
      <x:c r="B90" s="14" t="n">
        <x:v>38</x:v>
      </x:c>
      <x:c r="C90" s="14" t="str">
        <x:v>Захват 1 закрыт</x:v>
      </x:c>
      <x:c r="D90" s="14" t="str">
        <x:v>есть в ПЛК</x:v>
      </x:c>
      <x:c r="E90" s="14" t="str">
        <x:v>GVL_PHYSICAL_IO.stGripperFeedback.xGripper1Closed</x:v>
      </x:c>
      <x:c r="F90" s="14" t="str">
        <x:v>GVL_PHYSICAL_IO.xDiGripper1Closed</x:v>
      </x:c>
      <x:c r="G90" s="14" t="str">
        <x:v>%IX260.4</x:v>
      </x:c>
      <x:c r="H90" s="14" t="str">
        <x:v>GL200-DI32 #1: CH20</x:v>
      </x:c>
      <x:c r="I90" s="14" t="str">
        <x:v>1 — указанная позиция; в Modbus источником остаётся SC-500; 1→0 без задержки</x:v>
      </x:c>
    </x:row>
    <x:row r="91" ht="46" customHeight="1">
      <x:c r="A91" s="14" t="str">
        <x:v>DI</x:v>
      </x:c>
      <x:c r="B91" s="14" t="n">
        <x:v>39</x:v>
      </x:c>
      <x:c r="C91" s="14" t="str">
        <x:v>Захват 2 открыт</x:v>
      </x:c>
      <x:c r="D91" s="14" t="str">
        <x:v>есть в ПЛК</x:v>
      </x:c>
      <x:c r="E91" s="14" t="str">
        <x:v>GVL_PHYSICAL_IO.stGripperFeedback.xGripper2Open</x:v>
      </x:c>
      <x:c r="F91" s="14" t="str">
        <x:v>GVL_PHYSICAL_IO.xDiGripper2Open</x:v>
      </x:c>
      <x:c r="G91" s="14" t="str">
        <x:v>%IX260.5</x:v>
      </x:c>
      <x:c r="H91" s="14" t="str">
        <x:v>GL200-DI32 #1: CH21</x:v>
      </x:c>
      <x:c r="I91" s="14" t="str">
        <x:v>1 — указанная позиция; в Modbus источником остаётся SC-500; 1→0 без задержки</x:v>
      </x:c>
    </x:row>
    <x:row r="92" ht="46" customHeight="1">
      <x:c r="A92" s="14" t="str">
        <x:v>DI</x:v>
      </x:c>
      <x:c r="B92" s="14" t="n">
        <x:v>40</x:v>
      </x:c>
      <x:c r="C92" s="14" t="str">
        <x:v>Захват 2 закрыт</x:v>
      </x:c>
      <x:c r="D92" s="14" t="str">
        <x:v>есть в ПЛК</x:v>
      </x:c>
      <x:c r="E92" s="14" t="str">
        <x:v>GVL_PHYSICAL_IO.stGripperFeedback.xGripper2Closed</x:v>
      </x:c>
      <x:c r="F92" s="14" t="str">
        <x:v>GVL_PHYSICAL_IO.xDiGripper2Closed</x:v>
      </x:c>
      <x:c r="G92" s="14" t="str">
        <x:v>%IX260.6</x:v>
      </x:c>
      <x:c r="H92" s="14" t="str">
        <x:v>GL200-DI32 #1: CH22</x:v>
      </x:c>
      <x:c r="I92" s="14" t="str">
        <x:v>1 — указанная позиция; в Modbus источником остаётся SC-500; 1→0 без задержки</x:v>
      </x:c>
    </x:row>
    <x:row r="93" ht="46" customHeight="1">
      <x:c r="A93" s="14" t="str">
        <x:v>DI</x:v>
      </x:c>
      <x:c r="B93" s="14" t="n">
        <x:v>41</x:v>
      </x:c>
      <x:c r="C93" s="14" t="str">
        <x:v>Поворот к заготовке</x:v>
      </x:c>
      <x:c r="D93" s="14" t="str">
        <x:v>есть в ПЛК</x:v>
      </x:c>
      <x:c r="E93" s="14" t="str">
        <x:v>GVL_PHYSICAL_IO.stGripperFeedback.xRotatedToBlank</x:v>
      </x:c>
      <x:c r="F93" s="14" t="str">
        <x:v>GVL_PHYSICAL_IO.xDiRotatedToBlank</x:v>
      </x:c>
      <x:c r="G93" s="14" t="str">
        <x:v>%IX260.7</x:v>
      </x:c>
      <x:c r="H93" s="14" t="str">
        <x:v>GL200-DI32 #1: CH23</x:v>
      </x:c>
      <x:c r="I93" s="14" t="str">
        <x:v>1 — указанная позиция; в Modbus источником остаётся SC-500; 1→0 без задержки</x:v>
      </x:c>
    </x:row>
    <x:row r="94" ht="46" customHeight="1">
      <x:c r="A94" s="14" t="str">
        <x:v>DI</x:v>
      </x:c>
      <x:c r="B94" s="14" t="n">
        <x:v>42</x:v>
      </x:c>
      <x:c r="C94" s="14" t="str">
        <x:v>Поворот к детали</x:v>
      </x:c>
      <x:c r="D94" s="14" t="str">
        <x:v>есть в ПЛК</x:v>
      </x:c>
      <x:c r="E94" s="14" t="str">
        <x:v>GVL_PHYSICAL_IO.stGripperFeedback.xRotatedToDetail</x:v>
      </x:c>
      <x:c r="F94" s="14" t="str">
        <x:v>GVL_PHYSICAL_IO.xDiRotatedToDetail</x:v>
      </x:c>
      <x:c r="G94" s="14" t="str">
        <x:v>%IX261.0</x:v>
      </x:c>
      <x:c r="H94" s="14" t="str">
        <x:v>GL200-DI32 #1: CH24</x:v>
      </x:c>
      <x:c r="I94" s="14" t="str">
        <x:v>1 — указанная позиция; в Modbus источником остаётся SC-500; 1→0 без задержки</x:v>
      </x:c>
    </x:row>
    <x:row r="95" ht="46" customHeight="1">
      <x:c r="A95" s="14" t="str">
        <x:v>DI</x:v>
      </x:c>
      <x:c r="B95" s="14" t="n">
        <x:v>43</x:v>
      </x:c>
      <x:c r="C95" s="14" t="str">
        <x:v>Запустить ячейку в работу</x:v>
      </x:c>
      <x:c r="D95" s="14" t="str">
        <x:v>есть в ПЛК</x:v>
      </x:c>
      <x:c r="E95" s="14" t="str">
        <x:v>GVL_CELL_SAFETY_IO.xCellStartButtonInput</x:v>
      </x:c>
      <x:c r="F95" s="14" t="str">
        <x:v>GVL_PHYSICAL_IO.xDiCellStartButtonInput</x:v>
      </x:c>
      <x:c r="G95" s="14" t="str">
        <x:v>%IX261.1</x:v>
      </x:c>
      <x:c r="H95" s="14" t="str">
        <x:v>GL200-DI32 #1: CH25</x:v>
      </x:c>
      <x:c r="I95" s="14" t="str">
        <x:v>1 — кнопка нажата; Стоп проходит без задержки нажатия</x:v>
      </x:c>
    </x:row>
    <x:row r="96" ht="46" customHeight="1">
      <x:c r="A96" s="14" t="str">
        <x:v>DI</x:v>
      </x:c>
      <x:c r="B96" s="14" t="n">
        <x:v>44</x:v>
      </x:c>
      <x:c r="C96" s="14" t="str">
        <x:v>Вывести ячейку из работы</x:v>
      </x:c>
      <x:c r="D96" s="14" t="str">
        <x:v>есть в ПЛК</x:v>
      </x:c>
      <x:c r="E96" s="14" t="str">
        <x:v>GVL_CELL_SAFETY_IO.xCellStopButtonInput</x:v>
      </x:c>
      <x:c r="F96" s="14" t="str">
        <x:v>GVL_PHYSICAL_IO.xDiCellStopButtonInput</x:v>
      </x:c>
      <x:c r="G96" s="14" t="str">
        <x:v>%IX261.2</x:v>
      </x:c>
      <x:c r="H96" s="14" t="str">
        <x:v>GL200-DI32 #1: CH26</x:v>
      </x:c>
      <x:c r="I96" s="14" t="str">
        <x:v>1 — кнопка нажата; Стоп проходит без задержки нажатия; 0→1 без задержки</x:v>
      </x:c>
    </x:row>
    <x:row r="97" ht="46" customHeight="1">
      <x:c r="A97" s="14" t="str">
        <x:v>DI</x:v>
      </x:c>
      <x:c r="B97" s="14" t="n">
        <x:v>45</x:v>
      </x:c>
      <x:c r="C97" s="14" t="str">
        <x:v>Сбросить ошибки ячейку</x:v>
      </x:c>
      <x:c r="D97" s="14" t="str">
        <x:v>есть в ПЛК</x:v>
      </x:c>
      <x:c r="E97" s="14" t="str">
        <x:v>GVL_CELL_SAFETY_IO.xCellResetButtonInput</x:v>
      </x:c>
      <x:c r="F97" s="14" t="str">
        <x:v>GVL_PHYSICAL_IO.xDiCellResetButtonInput</x:v>
      </x:c>
      <x:c r="G97" s="14" t="str">
        <x:v>%IX261.3</x:v>
      </x:c>
      <x:c r="H97" s="14" t="str">
        <x:v>GL200-DI32 #1: CH27</x:v>
      </x:c>
      <x:c r="I97" s="14" t="str">
        <x:v>1 — кнопка нажата; Стоп проходит без задержки нажатия</x:v>
      </x:c>
    </x:row>
    <x:row r="98" ht="46" customHeight="1">
      <x:c r="A98" s="14" t="str">
        <x:v>DI</x:v>
      </x:c>
      <x:c r="B98" s="14" t="n">
        <x:v>46</x:v>
      </x:c>
      <x:c r="C98" s="14" t="str">
        <x:v>Аварийный грибок 1</x:v>
      </x:c>
      <x:c r="D98" s="14" t="str">
        <x:v>есть в ПЛК</x:v>
      </x:c>
      <x:c r="E98" s="14" t="str">
        <x:v>GVL_CELL_SAFETY_IO.axEmergencyStopButtonStationInput[1]</x:v>
      </x:c>
      <x:c r="F98" s="14" t="str">
        <x:v>GVL_PHYSICAL_IO.xDiEmergencyStopStation1Ok</x:v>
      </x:c>
      <x:c r="G98" s="14" t="str">
        <x:v>%IX261.4</x:v>
      </x:c>
      <x:c r="H98" s="14" t="str">
        <x:v>GL200-DI32 #1: CH28</x:v>
      </x:c>
      <x:c r="I98" s="14" t="str">
        <x:v>Физически 1 — грибок отжат; в PLC TRUE — грибок нажат; 1→0 без задержки</x:v>
      </x:c>
    </x:row>
    <x:row r="99" ht="46" customHeight="1">
      <x:c r="A99" s="14" t="str">
        <x:v>DI</x:v>
      </x:c>
      <x:c r="B99" s="14" t="n">
        <x:v>47</x:v>
      </x:c>
      <x:c r="C99" s="14" t="str">
        <x:v>Аварийный грибок 2</x:v>
      </x:c>
      <x:c r="D99" s="14" t="str">
        <x:v>есть в ПЛК</x:v>
      </x:c>
      <x:c r="E99" s="14" t="str">
        <x:v>GVL_CELL_SAFETY_IO.axEmergencyStopButtonStationInput[2]</x:v>
      </x:c>
      <x:c r="F99" s="14" t="str">
        <x:v>GVL_PHYSICAL_IO.xDiEmergencyStopStation2Ok</x:v>
      </x:c>
      <x:c r="G99" s="14" t="str">
        <x:v>%IX261.5</x:v>
      </x:c>
      <x:c r="H99" s="14" t="str">
        <x:v>GL200-DI32 #1: CH29</x:v>
      </x:c>
      <x:c r="I99" s="14" t="str">
        <x:v>Физически 1 — грибок отжат; в PLC TRUE — грибок нажат; 1→0 без задержки</x:v>
      </x:c>
    </x:row>
    <x:row r="100" ht="46" customHeight="1">
      <x:c r="A100" s="14" t="str">
        <x:v>DI</x:v>
      </x:c>
      <x:c r="B100" s="14" t="n">
        <x:v>48</x:v>
      </x:c>
      <x:c r="C100" s="14" t="str">
        <x:v>Аварийный грибок 3</x:v>
      </x:c>
      <x:c r="D100" s="14" t="str">
        <x:v>есть в ПЛК</x:v>
      </x:c>
      <x:c r="E100" s="14" t="str">
        <x:v>GVL_CELL_SAFETY_IO.axEmergencyStopButtonStationInput[3]</x:v>
      </x:c>
      <x:c r="F100" s="14" t="str">
        <x:v>GVL_PHYSICAL_IO.xDiEmergencyStopStation3Ok</x:v>
      </x:c>
      <x:c r="G100" s="14" t="str">
        <x:v>%IX261.6</x:v>
      </x:c>
      <x:c r="H100" s="14" t="str">
        <x:v>GL200-DI32 #1: CH30</x:v>
      </x:c>
      <x:c r="I100" s="14" t="str">
        <x:v>Физически 1 — грибок отжат; в PLC TRUE — грибок нажат; 1→0 без задержки</x:v>
      </x:c>
    </x:row>
    <x:row r="101" ht="46" customHeight="1">
      <x:c r="A101" s="14" t="str">
        <x:v>DI</x:v>
      </x:c>
      <x:c r="B101" s="14" t="n">
        <x:v>49</x:v>
      </x:c>
      <x:c r="C101" s="14" t="str">
        <x:v>Аварийный грибок 4</x:v>
      </x:c>
      <x:c r="D101" s="14" t="str">
        <x:v>есть в ПЛК</x:v>
      </x:c>
      <x:c r="E101" s="14" t="str">
        <x:v>GVL_CELL_SAFETY_IO.axEmergencyStopButtonStationInput[4]</x:v>
      </x:c>
      <x:c r="F101" s="14" t="str">
        <x:v>GVL_PHYSICAL_IO.xDiEmergencyStopStation4Ok</x:v>
      </x:c>
      <x:c r="G101" s="14" t="str">
        <x:v>%IX261.7</x:v>
      </x:c>
      <x:c r="H101" s="14" t="str">
        <x:v>GL200-DI32 #1: CH31</x:v>
      </x:c>
      <x:c r="I101" s="14" t="str">
        <x:v>Физически 1 — грибок отжат; в PLC TRUE — грибок нажат; 1→0 без задержки</x:v>
      </x:c>
    </x:row>
    <x:row r="102" ht="46" customHeight="1">
      <x:c r="A102" s="14" t="str">
        <x:v>DI</x:v>
      </x:c>
      <x:c r="B102" s="14" t="n">
        <x:v>50</x:v>
      </x:c>
      <x:c r="C102" s="14" t="str">
        <x:v>Аварийный грибок 5</x:v>
      </x:c>
      <x:c r="D102" s="14" t="str">
        <x:v>есть в ПЛК</x:v>
      </x:c>
      <x:c r="E102" s="14" t="str">
        <x:v>GVL_CELL_SAFETY_IO.axEmergencyStopCabinetInput[1]</x:v>
      </x:c>
      <x:c r="F102" s="14" t="str">
        <x:v>GVL_PHYSICAL_IO.xDiEmergencyStopCabinet1Ok</x:v>
      </x:c>
      <x:c r="G102" s="14" t="str">
        <x:v>%IX262.0</x:v>
      </x:c>
      <x:c r="H102" s="14" t="str">
        <x:v>GL200-DI32 #2: CH0</x:v>
      </x:c>
      <x:c r="I102" s="14" t="str">
        <x:v>Физически 1 — грибок отжат; в PLC TRUE — грибок нажат; 1→0 без задержки</x:v>
      </x:c>
    </x:row>
    <x:row r="103" ht="46" customHeight="1">
      <x:c r="A103" s="14" t="str">
        <x:v>DI</x:v>
      </x:c>
      <x:c r="B103" s="14" t="n">
        <x:v>51</x:v>
      </x:c>
      <x:c r="C103" s="14" t="str">
        <x:v>Аварийный грибок 6</x:v>
      </x:c>
      <x:c r="D103" s="14" t="str">
        <x:v>есть в ПЛК</x:v>
      </x:c>
      <x:c r="E103" s="14" t="str">
        <x:v>GVL_CELL_SAFETY_IO.axEmergencyStopCabinetInput[2]</x:v>
      </x:c>
      <x:c r="F103" s="14" t="str">
        <x:v>GVL_PHYSICAL_IO.xDiEmergencyStopCabinet2Ok</x:v>
      </x:c>
      <x:c r="G103" s="14" t="str">
        <x:v>%IX262.1</x:v>
      </x:c>
      <x:c r="H103" s="14" t="str">
        <x:v>GL200-DI32 #2: CH1</x:v>
      </x:c>
      <x:c r="I103" s="14" t="str">
        <x:v>Физически 1 — грибок отжат; в PLC TRUE — грибок нажат; 1→0 без задержки</x:v>
      </x:c>
    </x:row>
    <x:row r="104" ht="46" customHeight="1">
      <x:c r="A104" s="14" t="str">
        <x:v>DI</x:v>
      </x:c>
      <x:c r="B104" s="14" t="n">
        <x:v>52</x:v>
      </x:c>
      <x:c r="C104" s="14" t="str">
        <x:v>Аварийный грибок 7</x:v>
      </x:c>
      <x:c r="D104" s="14" t="str">
        <x:v>есть в ПЛК</x:v>
      </x:c>
      <x:c r="E104" s="14" t="str">
        <x:v>GVL_CELL_SAFETY_IO.xEmergencyStopMpgInput</x:v>
      </x:c>
      <x:c r="F104" s="14" t="str">
        <x:v>GVL_PHYSICAL_IO.xDiEmergencyStopMpgOk</x:v>
      </x:c>
      <x:c r="G104" s="14" t="str">
        <x:v>%IX262.2</x:v>
      </x:c>
      <x:c r="H104" s="14" t="str">
        <x:v>GL200-DI32 #2: CH2</x:v>
      </x:c>
      <x:c r="I104" s="14" t="str">
        <x:v>Физически 1 — грибок отжат; в PLC TRUE — грибок нажат; 1→0 без задержки</x:v>
      </x:c>
    </x:row>
    <x:row r="105" ht="44" customHeight="1">
      <x:c r="A105" s="14" t="str">
        <x:v>DI</x:v>
      </x:c>
      <x:c r="B105" s="14" t="n">
        <x:v>53</x:v>
      </x:c>
      <x:c r="C105" s="14" t="str">
        <x:v>Замок двери 1 открыт/закрыт</x:v>
      </x:c>
      <x:c r="D105" s="14" t="str">
        <x:v>есть в ПЛК</x:v>
      </x:c>
      <x:c r="E105" s="14" t="str">
        <x:v>GVL_CELL_SAFETY_IO.axDoorLockClosedInput[1]</x:v>
      </x:c>
      <x:c r="F105" s="14" t="str">
        <x:v>GVL_PHYSICAL_IO.xDiDoor1LockClosed</x:v>
      </x:c>
      <x:c r="G105" s="14" t="str">
        <x:v>%IX262.3</x:v>
      </x:c>
      <x:c r="H105" s="14" t="str">
        <x:v>GL200-DI32 #2: CH3</x:v>
      </x:c>
      <x:c r="I105" s="14" t="str">
        <x:v>1 — замок закрыт; 1→0 без задержки</x:v>
      </x:c>
    </x:row>
    <x:row r="106" ht="44" customHeight="1">
      <x:c r="A106" s="14" t="str">
        <x:v>DI</x:v>
      </x:c>
      <x:c r="B106" s="14" t="n">
        <x:v>54</x:v>
      </x:c>
      <x:c r="C106" s="14" t="str">
        <x:v>Замок двери 2 открыт/закрыт</x:v>
      </x:c>
      <x:c r="D106" s="14" t="str">
        <x:v>есть в ПЛК</x:v>
      </x:c>
      <x:c r="E106" s="14" t="str">
        <x:v>GVL_CELL_SAFETY_IO.axDoorLockClosedInput[2]</x:v>
      </x:c>
      <x:c r="F106" s="14" t="str">
        <x:v>GVL_PHYSICAL_IO.xDiDoor2LockClosed</x:v>
      </x:c>
      <x:c r="G106" s="14" t="str">
        <x:v>%IX262.4</x:v>
      </x:c>
      <x:c r="H106" s="14" t="str">
        <x:v>GL200-DI32 #2: CH4</x:v>
      </x:c>
      <x:c r="I106" s="14" t="str">
        <x:v>1 — замок закрыт; 1→0 без задержки</x:v>
      </x:c>
    </x:row>
    <x:row r="107" ht="44" customHeight="1">
      <x:c r="A107" s="14" t="str">
        <x:v>DI</x:v>
      </x:c>
      <x:c r="B107" s="14" t="n">
        <x:v>55</x:v>
      </x:c>
      <x:c r="C107" s="14" t="str">
        <x:v>Замок двери 3 открыт/закрыт</x:v>
      </x:c>
      <x:c r="D107" s="14" t="str">
        <x:v>есть в ПЛК</x:v>
      </x:c>
      <x:c r="E107" s="14" t="str">
        <x:v>GVL_CELL_SAFETY_IO.axDoorLockClosedInput[3]</x:v>
      </x:c>
      <x:c r="F107" s="14" t="str">
        <x:v>GVL_PHYSICAL_IO.xDiDoor3LockClosed</x:v>
      </x:c>
      <x:c r="G107" s="14" t="str">
        <x:v>%IX262.5</x:v>
      </x:c>
      <x:c r="H107" s="14" t="str">
        <x:v>GL200-DI32 #2: CH5</x:v>
      </x:c>
      <x:c r="I107" s="14" t="str">
        <x:v>1 — замок закрыт; 1→0 без задержки</x:v>
      </x:c>
    </x:row>
    <x:row r="108" ht="44" customHeight="1">
      <x:c r="A108" s="14" t="str">
        <x:v>DI</x:v>
      </x:c>
      <x:c r="B108" s="14" t="n">
        <x:v>56</x:v>
      </x:c>
      <x:c r="C108" s="14" t="str">
        <x:v>Замок двери 4 открыт/закрыт</x:v>
      </x:c>
      <x:c r="D108" s="14" t="str">
        <x:v>есть в ПЛК</x:v>
      </x:c>
      <x:c r="E108" s="14" t="str">
        <x:v>GVL_CELL_SAFETY_IO.axDoorLockClosedInput[4]</x:v>
      </x:c>
      <x:c r="F108" s="14" t="str">
        <x:v>GVL_PHYSICAL_IO.xDiDoor4LockClosed</x:v>
      </x:c>
      <x:c r="G108" s="14" t="str">
        <x:v>%IX262.6</x:v>
      </x:c>
      <x:c r="H108" s="14" t="str">
        <x:v>GL200-DI32 #2: CH6</x:v>
      </x:c>
      <x:c r="I108" s="14" t="str">
        <x:v>1 — замок закрыт; 1→0 без задержки</x:v>
      </x:c>
    </x:row>
    <x:row r="109" ht="46" customHeight="1">
      <x:c r="A109" s="14" t="str">
        <x:v>DI</x:v>
      </x:c>
      <x:c r="B109" s="14" t="n">
        <x:v>57</x:v>
      </x:c>
      <x:c r="C109" s="14" t="str">
        <x:v>Реле безопасности 1, взведено</x:v>
      </x:c>
      <x:c r="D109" s="14" t="str">
        <x:v>есть в ПЛК</x:v>
      </x:c>
      <x:c r="E109" s="14" t="str">
        <x:v>GVL_CELL_SAFETY_IO.xSafetyRelayOkInput</x:v>
      </x:c>
      <x:c r="F109" s="14" t="str">
        <x:v>GVL_PHYSICAL_IO.xDiSafetyRelayOkInput</x:v>
      </x:c>
      <x:c r="G109" s="14" t="str">
        <x:v>%IX262.7</x:v>
      </x:c>
      <x:c r="H109" s="14" t="str">
        <x:v>GL200-DI32 #2: CH7</x:v>
      </x:c>
      <x:c r="I109" s="14" t="str">
        <x:v>1 — норма; потеря нормы проходит без задержки; 1→0 без задержки</x:v>
      </x:c>
    </x:row>
    <x:row r="110" ht="46" customHeight="1">
      <x:c r="A110" s="14" t="str">
        <x:v>DI</x:v>
      </x:c>
      <x:c r="B110" s="14" t="n">
        <x:v>58</x:v>
      </x:c>
      <x:c r="C110" s="14" t="str">
        <x:v>Фазы совпадают</x:v>
      </x:c>
      <x:c r="D110" s="14" t="str">
        <x:v>есть в ПЛК</x:v>
      </x:c>
      <x:c r="E110" s="14" t="str">
        <x:v>GVL_CELL_SAFETY_IO.xPhaseRelayOkInput</x:v>
      </x:c>
      <x:c r="F110" s="14" t="str">
        <x:v>GVL_PHYSICAL_IO.xDiPhaseRelayOkInput</x:v>
      </x:c>
      <x:c r="G110" s="14" t="str">
        <x:v>%IX263.0</x:v>
      </x:c>
      <x:c r="H110" s="14" t="str">
        <x:v>GL200-DI32 #2: CH8</x:v>
      </x:c>
      <x:c r="I110" s="14" t="str">
        <x:v>1 — норма; потеря нормы проходит без задержки; 1→0 без задержки</x:v>
      </x:c>
    </x:row>
    <x:row r="111" ht="46" customHeight="1">
      <x:c r="A111" s="14" t="str">
        <x:v>DI</x:v>
      </x:c>
      <x:c r="B111" s="14" t="n">
        <x:v>59</x:v>
      </x:c>
      <x:c r="C111" s="14" t="str">
        <x:v>Давление стабильно</x:v>
      </x:c>
      <x:c r="D111" s="14" t="str">
        <x:v>есть в ПЛК</x:v>
      </x:c>
      <x:c r="E111" s="14" t="str">
        <x:v>GVL_CELL_SAFETY_IO.xPressureRelayOkInput</x:v>
      </x:c>
      <x:c r="F111" s="14" t="str">
        <x:v>GVL_PHYSICAL_IO.xDiPressureRelayOkInput</x:v>
      </x:c>
      <x:c r="G111" s="14" t="str">
        <x:v>%IX263.1</x:v>
      </x:c>
      <x:c r="H111" s="14" t="str">
        <x:v>GL200-DI32 #2: CH9</x:v>
      </x:c>
      <x:c r="I111" s="14" t="str">
        <x:v>1 — норма; потеря нормы проходит без задержки; 1→0 без задержки</x:v>
      </x:c>
    </x:row>
    <x:row r="112" ht="61" customHeight="1">
      <x:c r="A112" s="14" t="str">
        <x:v>DI</x:v>
      </x:c>
      <x:c r="B112" s="14" t="n">
        <x:v>60</x:v>
      </x:c>
      <x:c r="C112" s="14" t="str">
        <x:v>Энкодер A +</x:v>
      </x:c>
      <x:c r="D112" s="14" t="str">
        <x:v>нету в ПЛК</x:v>
      </x:c>
      <x:c r="E112" s="14" t="str">
        <x:v>Не реализован (HSC A)</x:v>
      </x:c>
      <x:c r="F112" s="14" t="str">
        <x:v>Не реализован (HSC A)</x:v>
      </x:c>
      <x:c r="G112" s="14" t="str">
        <x:v>%IX256.0</x:v>
      </x:c>
      <x:c r="H112" s="14" t="str">
        <x:v>MC522: DI_CH0 / HSC, резерв</x:v>
      </x:c>
      <x:c r="I112" s="14" t="str">
        <x:v>Резерв быстрого входа CPU под фазу A. Аппаратный квадратурный счётчик и согласование уровня ещё не реализованы.</x:v>
      </x:c>
    </x:row>
    <x:row r="113" ht="61" customHeight="1">
      <x:c r="A113" s="14" t="str">
        <x:v>DI</x:v>
      </x:c>
      <x:c r="B113" s="14" t="n">
        <x:v>61</x:v>
      </x:c>
      <x:c r="C113" s="14" t="str">
        <x:v>Энкодер B +</x:v>
      </x:c>
      <x:c r="D113" s="14" t="str">
        <x:v>нету в ПЛК</x:v>
      </x:c>
      <x:c r="E113" s="14" t="str">
        <x:v>Не реализован (HSC B)</x:v>
      </x:c>
      <x:c r="F113" s="14" t="str">
        <x:v>Не реализован (HSC B)</x:v>
      </x:c>
      <x:c r="G113" s="14" t="str">
        <x:v>%IX256.1</x:v>
      </x:c>
      <x:c r="H113" s="14" t="str">
        <x:v>MC522: DI_CH1 / HSC, резерв</x:v>
      </x:c>
      <x:c r="I113" s="14" t="str">
        <x:v>Резерв быстрого входа CPU под фазу B. Аппаратный квадратурный счётчик и согласование уровня ещё не реализованы.</x:v>
      </x:c>
    </x:row>
    <x:row r="114" ht="61" customHeight="1">
      <x:c r="A114" s="14" t="str">
        <x:v>DI</x:v>
      </x:c>
      <x:c r="B114" s="14" t="n">
        <x:v>62</x:v>
      </x:c>
      <x:c r="C114" s="14" t="str">
        <x:v>Энкодер A -</x:v>
      </x:c>
      <x:c r="D114" s="14" t="str">
        <x:v>нету в ПЛК</x:v>
      </x:c>
      <x:c r="E114" s="14" t="str">
        <x:v>Нет отдельного BOOL</x:v>
      </x:c>
      <x:c r="F114" s="14" t="str">
        <x:v>Нет отдельного BOOL</x:v>
      </x:c>
      <x:c r="G114" s="14"/>
      <x:c r="H114" s="14" t="str">
        <x:v>Дифференциальная пара MPG</x:v>
      </x:c>
      <x:c r="I114" s="14" t="str">
        <x:v>A− — инверсная линия дифференциальной пары A+/−, не самостоятельный обычный DI. При RS-422 нужен совместимый приёмник.</x:v>
      </x:c>
    </x:row>
    <x:row r="115" ht="61" customHeight="1">
      <x:c r="A115" s="14" t="str">
        <x:v>DI</x:v>
      </x:c>
      <x:c r="B115" s="14" t="n">
        <x:v>63</x:v>
      </x:c>
      <x:c r="C115" s="14" t="str">
        <x:v>Энкодер B -</x:v>
      </x:c>
      <x:c r="D115" s="14" t="str">
        <x:v>нету в ПЛК</x:v>
      </x:c>
      <x:c r="E115" s="14" t="str">
        <x:v>Нет отдельного BOOL</x:v>
      </x:c>
      <x:c r="F115" s="14" t="str">
        <x:v>Нет отдельного BOOL</x:v>
      </x:c>
      <x:c r="G115" s="14"/>
      <x:c r="H115" s="14" t="str">
        <x:v>Дифференциальная пара MPG</x:v>
      </x:c>
      <x:c r="I115" s="14" t="str">
        <x:v>B− — инверсная линия дифференциальной пары B+/−, не самостоятельный обычный DI. При RS-422 нужен совместимый приёмник.</x:v>
      </x:c>
    </x:row>
    <x:row r="116" ht="46" customHeight="1">
      <x:c r="A116" s="14" t="str">
        <x:v>DI</x:v>
      </x:c>
      <x:c r="B116" s="14" t="n">
        <x:v>64</x:v>
      </x:c>
      <x:c r="C116" s="14" t="str">
        <x:v>Выбор оси X</x:v>
      </x:c>
      <x:c r="D116" s="14" t="str">
        <x:v>есть в ПЛК</x:v>
      </x:c>
      <x:c r="E116" s="14" t="str">
        <x:v>GVL_CELL_SAFETY_IO.xMpgAxisXInput</x:v>
      </x:c>
      <x:c r="F116" s="14" t="str">
        <x:v>GVL_PHYSICAL_IO.xDiMpgAxisXInput</x:v>
      </x:c>
      <x:c r="G116" s="14" t="str">
        <x:v>%IX263.2</x:v>
      </x:c>
      <x:c r="H116" s="14" t="str">
        <x:v>GL200-DI32 #2: CH10</x:v>
      </x:c>
      <x:c r="I116" s="14" t="str">
        <x:v>Есть в PLC: исправлена ошибочная отметка «Нет в ПЛК»</x:v>
      </x:c>
    </x:row>
    <x:row r="117" ht="46" customHeight="1">
      <x:c r="A117" s="14" t="str">
        <x:v>DI</x:v>
      </x:c>
      <x:c r="B117" s="14" t="n">
        <x:v>65</x:v>
      </x:c>
      <x:c r="C117" s="14" t="str">
        <x:v>Выбор оси Y</x:v>
      </x:c>
      <x:c r="D117" s="14" t="str">
        <x:v>есть в ПЛК</x:v>
      </x:c>
      <x:c r="E117" s="14" t="str">
        <x:v>GVL_CELL_SAFETY_IO.xMpgAxisYInput</x:v>
      </x:c>
      <x:c r="F117" s="14" t="str">
        <x:v>GVL_PHYSICAL_IO.xDiMpgAxisYInput</x:v>
      </x:c>
      <x:c r="G117" s="14" t="str">
        <x:v>%IX263.3</x:v>
      </x:c>
      <x:c r="H117" s="14" t="str">
        <x:v>GL200-DI32 #2: CH11</x:v>
      </x:c>
      <x:c r="I117" s="14" t="str">
        <x:v>Есть в PLC: исправлена ошибочная отметка «Нет в ПЛК»</x:v>
      </x:c>
    </x:row>
    <x:row r="118" ht="46" customHeight="1">
      <x:c r="A118" s="14" t="str">
        <x:v>DI</x:v>
      </x:c>
      <x:c r="B118" s="14" t="n">
        <x:v>66</x:v>
      </x:c>
      <x:c r="C118" s="14" t="str">
        <x:v>Выбор оси Z</x:v>
      </x:c>
      <x:c r="D118" s="14" t="str">
        <x:v>есть в ПЛК</x:v>
      </x:c>
      <x:c r="E118" s="14" t="str">
        <x:v>GVL_CELL_SAFETY_IO.xMpgAxisZInput</x:v>
      </x:c>
      <x:c r="F118" s="14" t="str">
        <x:v>GVL_PHYSICAL_IO.xDiMpgAxisZInput</x:v>
      </x:c>
      <x:c r="G118" s="14" t="str">
        <x:v>%IX263.4</x:v>
      </x:c>
      <x:c r="H118" s="14" t="str">
        <x:v>GL200-DI32 #2: CH12</x:v>
      </x:c>
      <x:c r="I118" s="14" t="str">
        <x:v>Есть в PLC: исправлена ошибочная отметка «Нет в ПЛК»</x:v>
      </x:c>
    </x:row>
    <x:row r="119" ht="46" customHeight="1">
      <x:c r="A119" s="14" t="str">
        <x:v>DI</x:v>
      </x:c>
      <x:c r="B119" s="14" t="n">
        <x:v>67</x:v>
      </x:c>
      <x:c r="C119" s="14" t="str">
        <x:v>Выбор оси A</x:v>
      </x:c>
      <x:c r="D119" s="14" t="str">
        <x:v>нету в ПЛК</x:v>
      </x:c>
      <x:c r="E119" s="14" t="str">
        <x:v>Не реализован</x:v>
      </x:c>
      <x:c r="F119" s="14" t="str">
        <x:v>Не реализован</x:v>
      </x:c>
      <x:c r="G119" s="14"/>
      <x:c r="H119" s="14" t="str">
        <x:v>—</x:v>
      </x:c>
      <x:c r="I119" s="14" t="str">
        <x:v>Ось A в портале не предусмотрена; физический канал не назначен</x:v>
      </x:c>
    </x:row>
    <x:row r="120" ht="46" customHeight="1">
      <x:c r="A120" s="14" t="str">
        <x:v>DI</x:v>
      </x:c>
      <x:c r="B120" s="14" t="n">
        <x:v>68</x:v>
      </x:c>
      <x:c r="C120" s="14" t="str">
        <x:v>Множитель ×1</x:v>
      </x:c>
      <x:c r="D120" s="14" t="str">
        <x:v>есть в ПЛК</x:v>
      </x:c>
      <x:c r="E120" s="14" t="str">
        <x:v>GVL_CELL_SAFETY_IO.xMpgMultiplier1Input</x:v>
      </x:c>
      <x:c r="F120" s="14" t="str">
        <x:v>GVL_PHYSICAL_IO.xDiMpgMultiplier1Input</x:v>
      </x:c>
      <x:c r="G120" s="14" t="str">
        <x:v>%IX263.5</x:v>
      </x:c>
      <x:c r="H120" s="14" t="str">
        <x:v>GL200-DI32 #2: CH13</x:v>
      </x:c>
      <x:c r="I120" s="14" t="str">
        <x:v>Есть в PLC: исправлена ошибочная отметка «Нет в ПЛК»</x:v>
      </x:c>
    </x:row>
    <x:row r="121" ht="46" customHeight="1">
      <x:c r="A121" s="14" t="str">
        <x:v>DI</x:v>
      </x:c>
      <x:c r="B121" s="14" t="n">
        <x:v>69</x:v>
      </x:c>
      <x:c r="C121" s="14" t="str">
        <x:v>Множитель ×10</x:v>
      </x:c>
      <x:c r="D121" s="14" t="str">
        <x:v>есть в ПЛК</x:v>
      </x:c>
      <x:c r="E121" s="14" t="str">
        <x:v>GVL_CELL_SAFETY_IO.xMpgMultiplier10Input</x:v>
      </x:c>
      <x:c r="F121" s="14" t="str">
        <x:v>GVL_PHYSICAL_IO.xDiMpgMultiplier10Input</x:v>
      </x:c>
      <x:c r="G121" s="14" t="str">
        <x:v>%IX263.6</x:v>
      </x:c>
      <x:c r="H121" s="14" t="str">
        <x:v>GL200-DI32 #2: CH14</x:v>
      </x:c>
      <x:c r="I121" s="14" t="str">
        <x:v>Есть в PLC: исправлена ошибочная отметка «Нет в ПЛК»</x:v>
      </x:c>
    </x:row>
    <x:row r="122" ht="46" customHeight="1">
      <x:c r="A122" s="14" t="str">
        <x:v>DI</x:v>
      </x:c>
      <x:c r="B122" s="14" t="n">
        <x:v>70</x:v>
      </x:c>
      <x:c r="C122" s="14" t="str">
        <x:v>Множитель ×100</x:v>
      </x:c>
      <x:c r="D122" s="14" t="str">
        <x:v>есть в ПЛК</x:v>
      </x:c>
      <x:c r="E122" s="14" t="str">
        <x:v>GVL_CELL_SAFETY_IO.xMpgMultiplier100Input</x:v>
      </x:c>
      <x:c r="F122" s="14" t="str">
        <x:v>GVL_PHYSICAL_IO.xDiMpgMultiplier100Input</x:v>
      </x:c>
      <x:c r="G122" s="14" t="str">
        <x:v>%IX263.7</x:v>
      </x:c>
      <x:c r="H122" s="14" t="str">
        <x:v>GL200-DI32 #2: CH15</x:v>
      </x:c>
      <x:c r="I122" s="14" t="str">
        <x:v>Есть в PLC: исправлена ошибочная отметка «Нет в ПЛК»</x:v>
      </x:c>
    </x:row>
    <x:row r="123" ht="44" customHeight="1">
      <x:c r="A123" s="14" t="str">
        <x:v>DI</x:v>
      </x:c>
      <x:c r="B123" s="14" t="n">
        <x:v>71</x:v>
      </x:c>
      <x:c r="C123" s="14" t="str">
        <x:v>Замок втянут</x:v>
      </x:c>
      <x:c r="D123" s="14" t="str">
        <x:v>есть в ПЛК</x:v>
      </x:c>
      <x:c r="E123" s="14" t="str">
        <x:v>GVL_TWO_PALLET.astInput[1].xLockIn</x:v>
      </x:c>
      <x:c r="F123" s="14" t="str">
        <x:v>GVL_PHYSICAL_IO.xDiMagazine1LockIn</x:v>
      </x:c>
      <x:c r="G123" s="14" t="str">
        <x:v>%IX264.0</x:v>
      </x:c>
      <x:c r="H123" s="14" t="str">
        <x:v>GL200-DI32 #2: CH16</x:v>
      </x:c>
      <x:c r="I123" s="14" t="str">
        <x:v>1 — геркон сработал; 1→0 без задержки</x:v>
      </x:c>
    </x:row>
    <x:row r="124" ht="44" customHeight="1">
      <x:c r="A124" s="14" t="str">
        <x:v>DI</x:v>
      </x:c>
      <x:c r="B124" s="14" t="n">
        <x:v>72</x:v>
      </x:c>
      <x:c r="C124" s="14" t="str">
        <x:v>Замок выдвинут</x:v>
      </x:c>
      <x:c r="D124" s="14" t="str">
        <x:v>есть в ПЛК</x:v>
      </x:c>
      <x:c r="E124" s="14" t="str">
        <x:v>GVL_TWO_PALLET.astInput[1].xLockOut</x:v>
      </x:c>
      <x:c r="F124" s="14" t="str">
        <x:v>GVL_PHYSICAL_IO.xDiMagazine1LockOut</x:v>
      </x:c>
      <x:c r="G124" s="14" t="str">
        <x:v>%IX264.1</x:v>
      </x:c>
      <x:c r="H124" s="14" t="str">
        <x:v>GL200-DI32 #2: CH17</x:v>
      </x:c>
      <x:c r="I124" s="14" t="str">
        <x:v>1 — геркон сработал; 1→0 без задержки</x:v>
      </x:c>
    </x:row>
    <x:row r="125" ht="44" customHeight="1">
      <x:c r="A125" s="14" t="str">
        <x:v>DI</x:v>
      </x:c>
      <x:c r="B125" s="14" t="n">
        <x:v>73</x:v>
      </x:c>
      <x:c r="C125" s="14" t="str">
        <x:v>Фиксатор выдвинут</x:v>
      </x:c>
      <x:c r="D125" s="14" t="str">
        <x:v>есть в ПЛК</x:v>
      </x:c>
      <x:c r="E125" s="14" t="str">
        <x:v>GVL_TWO_PALLET.astInput[1].xStopIn</x:v>
      </x:c>
      <x:c r="F125" s="14" t="str">
        <x:v>GVL_PHYSICAL_IO.xDiMagazine1StopIn</x:v>
      </x:c>
      <x:c r="G125" s="14" t="str">
        <x:v>%IX264.2</x:v>
      </x:c>
      <x:c r="H125" s="14" t="str">
        <x:v>GL200-DI32 #2: CH18</x:v>
      </x:c>
      <x:c r="I125" s="14" t="str">
        <x:v>1 — геркон сработал; 1→0 без задержки</x:v>
      </x:c>
    </x:row>
    <x:row r="126" ht="44" customHeight="1">
      <x:c r="A126" s="14" t="str">
        <x:v>DI</x:v>
      </x:c>
      <x:c r="B126" s="14" t="n">
        <x:v>74</x:v>
      </x:c>
      <x:c r="C126" s="14" t="str">
        <x:v>Фиксатор втянут</x:v>
      </x:c>
      <x:c r="D126" s="14" t="str">
        <x:v>есть в ПЛК</x:v>
      </x:c>
      <x:c r="E126" s="14" t="str">
        <x:v>GVL_TWO_PALLET.astInput[1].xStopOut</x:v>
      </x:c>
      <x:c r="F126" s="14" t="str">
        <x:v>GVL_PHYSICAL_IO.xDiMagazine1StopOut</x:v>
      </x:c>
      <x:c r="G126" s="14" t="str">
        <x:v>%IX264.3</x:v>
      </x:c>
      <x:c r="H126" s="14" t="str">
        <x:v>GL200-DI32 #2: CH19</x:v>
      </x:c>
      <x:c r="I126" s="14" t="str">
        <x:v>1 — геркон сработал; 1→0 без задержки</x:v>
      </x:c>
    </x:row>
    <x:row r="127" ht="44" customHeight="1">
      <x:c r="A127" s="14" t="str">
        <x:v>DI</x:v>
      </x:c>
      <x:c r="B127" s="14" t="n">
        <x:v>75</x:v>
      </x:c>
      <x:c r="C127" s="14" t="str">
        <x:v>Подъёмник вверху</x:v>
      </x:c>
      <x:c r="D127" s="14" t="str">
        <x:v>есть в ПЛК</x:v>
      </x:c>
      <x:c r="E127" s="14" t="str">
        <x:v>GVL_TWO_PALLET.astInput[1].xLiftUp</x:v>
      </x:c>
      <x:c r="F127" s="14" t="str">
        <x:v>GVL_PHYSICAL_IO.xDiMagazine1LiftUp</x:v>
      </x:c>
      <x:c r="G127" s="14" t="str">
        <x:v>%IX264.4</x:v>
      </x:c>
      <x:c r="H127" s="14" t="str">
        <x:v>GL200-DI32 #2: CH20</x:v>
      </x:c>
      <x:c r="I127" s="14" t="str">
        <x:v>1 — геркон сработал; 1→0 без задержки</x:v>
      </x:c>
    </x:row>
    <x:row r="128" ht="44" customHeight="1">
      <x:c r="A128" s="14" t="str">
        <x:v>DI</x:v>
      </x:c>
      <x:c r="B128" s="14" t="n">
        <x:v>76</x:v>
      </x:c>
      <x:c r="C128" s="14" t="str">
        <x:v>Подъёмник внизу</x:v>
      </x:c>
      <x:c r="D128" s="14" t="str">
        <x:v>есть в ПЛК</x:v>
      </x:c>
      <x:c r="E128" s="14" t="str">
        <x:v>GVL_TWO_PALLET.astInput[1].xLiftDown</x:v>
      </x:c>
      <x:c r="F128" s="14" t="str">
        <x:v>GVL_PHYSICAL_IO.xDiMagazine1LiftDown</x:v>
      </x:c>
      <x:c r="G128" s="14" t="str">
        <x:v>%IX264.5</x:v>
      </x:c>
      <x:c r="H128" s="14" t="str">
        <x:v>GL200-DI32 #2: CH21</x:v>
      </x:c>
      <x:c r="I128" s="14" t="str">
        <x:v>1 — геркон сработал; 1→0 без задержки</x:v>
      </x:c>
    </x:row>
    <x:row r="129" ht="61" customHeight="1">
      <x:c r="A129" s="14" t="str">
        <x:v>DI</x:v>
      </x:c>
      <x:c r="B129" s="14" t="n">
        <x:v>77</x:v>
      </x:c>
      <x:c r="C129" s="14" t="str">
        <x:v>ГК привод — Авария</x:v>
      </x:c>
      <x:c r="D129" s="14" t="str">
        <x:v>есть в ПЛК</x:v>
      </x:c>
      <x:c r="E129" s="14" t="str">
        <x:v>GVL_PHYSICAL_IO.xDiGk1DriveAlarm</x:v>
      </x:c>
      <x:c r="F129" s="14" t="str">
        <x:v>GVL_PHYSICAL_IO.xDiGk1DriveAlarm</x:v>
      </x:c>
      <x:c r="G129" s="14" t="str">
        <x:v>%IX265.2</x:v>
      </x:c>
      <x:c r="H129" s="14" t="str">
        <x:v>GL200-DI32 #2: CH26</x:v>
      </x:c>
      <x:c r="I129" s="14" t="str">
        <x:v>Физический вход частотника конвейера ГК магазина 1; технологический FB ГК пока не подключён. Сырая переменная.</x:v>
      </x:c>
    </x:row>
    <x:row r="130" ht="61" customHeight="1">
      <x:c r="A130" s="14" t="str">
        <x:v>DI</x:v>
      </x:c>
      <x:c r="B130" s="14" t="n">
        <x:v>78</x:v>
      </x:c>
      <x:c r="C130" s="14" t="str">
        <x:v>ГК привод — Работа</x:v>
      </x:c>
      <x:c r="D130" s="14" t="str">
        <x:v>есть в ПЛК</x:v>
      </x:c>
      <x:c r="E130" s="14" t="str">
        <x:v>GVL_PHYSICAL_IO.xDiGk1DriveRunning</x:v>
      </x:c>
      <x:c r="F130" s="14" t="str">
        <x:v>GVL_PHYSICAL_IO.xDiGk1DriveRunning</x:v>
      </x:c>
      <x:c r="G130" s="14" t="str">
        <x:v>%IX265.3</x:v>
      </x:c>
      <x:c r="H130" s="14" t="str">
        <x:v>GL200-DI32 #2: CH27</x:v>
      </x:c>
      <x:c r="I130" s="14" t="str">
        <x:v>Физический вход частотника конвейера ГК магазина 1; технологический FB ГК пока не подключён. Сырая переменная.</x:v>
      </x:c>
    </x:row>
    <x:row r="131" ht="76" customHeight="1">
      <x:c r="A131" s="14" t="str">
        <x:v>DI</x:v>
      </x:c>
      <x:c r="B131" s="14" t="n">
        <x:v>79</x:v>
      </x:c>
      <x:c r="C131" s="14" t="str">
        <x:v>Датчик фиксации детали на конце конвейера</x:v>
      </x:c>
      <x:c r="D131" s="14" t="str">
        <x:v>есть в ПЛК</x:v>
      </x:c>
      <x:c r="E131" s="14" t="str">
        <x:v>GVL_PHYSICAL_IO.axGkPartAtEnd[1]</x:v>
      </x:c>
      <x:c r="F131" s="14" t="str">
        <x:v>GVL_PHYSICAL_IO.xDiGk1PartAtEnd</x:v>
      </x:c>
      <x:c r="G131" s="14" t="str">
        <x:v>%IX265.4</x:v>
      </x:c>
      <x:c r="H131" s="14" t="str">
        <x:v>GL200-DI32 #2: CH28</x:v>
      </x:c>
      <x:c r="I131" s="14" t="str">
        <x:v>1 — деталь зафиксирована в конечном положении конвейера. Передний фронт фильтруется настройкой ячейки; потеря подтверждения проходит сразу. Технологический FB ГК пока не подключён.</x:v>
      </x:c>
    </x:row>
    <x:row r="132" ht="61" customHeight="1">
      <x:c r="A132" s="14" t="str">
        <x:v>DI</x:v>
      </x:c>
      <x:c r="B132" s="14" t="n">
        <x:v>80</x:v>
      </x:c>
      <x:c r="C132" s="14" t="str">
        <x:v>ГК привод — Авария</x:v>
      </x:c>
      <x:c r="D132" s="14" t="str">
        <x:v>есть в ПЛК</x:v>
      </x:c>
      <x:c r="E132" s="14" t="str">
        <x:v>GVL_PHYSICAL_IO.xDiGk2DriveAlarm</x:v>
      </x:c>
      <x:c r="F132" s="14" t="str">
        <x:v>GVL_PHYSICAL_IO.xDiGk2DriveAlarm</x:v>
      </x:c>
      <x:c r="G132" s="14" t="str">
        <x:v>%IX265.5</x:v>
      </x:c>
      <x:c r="H132" s="14" t="str">
        <x:v>GL200-DI32 #2: CH29</x:v>
      </x:c>
      <x:c r="I132" s="14" t="str">
        <x:v>Физический вход частотника конвейера ГК магазина 2; сырая переменная, к технологическому FB не подключён.</x:v>
      </x:c>
    </x:row>
    <x:row r="133" ht="61" customHeight="1">
      <x:c r="A133" s="14" t="str">
        <x:v>DI</x:v>
      </x:c>
      <x:c r="B133" s="14" t="n">
        <x:v>81</x:v>
      </x:c>
      <x:c r="C133" s="14" t="str">
        <x:v>ГК привод — Работа</x:v>
      </x:c>
      <x:c r="D133" s="14" t="str">
        <x:v>есть в ПЛК</x:v>
      </x:c>
      <x:c r="E133" s="14" t="str">
        <x:v>GVL_PHYSICAL_IO.xDiGk2DriveRunning</x:v>
      </x:c>
      <x:c r="F133" s="14" t="str">
        <x:v>GVL_PHYSICAL_IO.xDiGk2DriveRunning</x:v>
      </x:c>
      <x:c r="G133" s="14" t="str">
        <x:v>%IX265.6</x:v>
      </x:c>
      <x:c r="H133" s="14" t="str">
        <x:v>GL200-DI32 #2: CH30</x:v>
      </x:c>
      <x:c r="I133" s="14" t="str">
        <x:v>Физический вход частотника конвейера ГК магазина 2; сырая переменная, к технологическому FB не подключён.</x:v>
      </x:c>
    </x:row>
    <x:row r="134" ht="76" customHeight="1">
      <x:c r="A134" s="14" t="str">
        <x:v>DI</x:v>
      </x:c>
      <x:c r="B134" s="14" t="n">
        <x:v>82</x:v>
      </x:c>
      <x:c r="C134" s="14" t="str">
        <x:v>Датчик фиксации детали на конце конвейера</x:v>
      </x:c>
      <x:c r="D134" s="14" t="str">
        <x:v>есть в ПЛК</x:v>
      </x:c>
      <x:c r="E134" s="14" t="str">
        <x:v>GVL_PHYSICAL_IO.axGkPartAtEnd[2]</x:v>
      </x:c>
      <x:c r="F134" s="14" t="str">
        <x:v>GVL_PHYSICAL_IO.xDiGk2PartAtEnd</x:v>
      </x:c>
      <x:c r="G134" s="14" t="str">
        <x:v>%IX265.7</x:v>
      </x:c>
      <x:c r="H134" s="14" t="str">
        <x:v>GL200-DI32 #2: CH31</x:v>
      </x:c>
      <x:c r="I134" s="14" t="str">
        <x:v>1 — деталь зафиксирована в конечном положении конвейера. Передний фронт фильтруется настройкой ячейки; потеря подтверждения проходит сразу. Технологический FB ГК пока не подключён.</x:v>
      </x:c>
    </x:row>
    <x:row r="135" ht="44" customHeight="1">
      <x:c r="A135" s="14" t="str">
        <x:v>DI</x:v>
      </x:c>
      <x:c r="B135" s="14" t="n">
        <x:v>83</x:v>
      </x:c>
      <x:c r="C135" s="14" t="str">
        <x:v>Кнопка запроса открытия двери 1</x:v>
      </x:c>
      <x:c r="D135" s="14" t="str">
        <x:v>есть в ПЛК</x:v>
      </x:c>
      <x:c r="E135" s="14" t="str">
        <x:v>GVL_CELL_SAFETY_IO.axDoorUnlockButtonInput[1]</x:v>
      </x:c>
      <x:c r="F135" s="14" t="str">
        <x:v>GVL_PHYSICAL_IO.xDiDoor1UnlockButton</x:v>
      </x:c>
      <x:c r="G135" s="14" t="str">
        <x:v>%IX264.6</x:v>
      </x:c>
      <x:c r="H135" s="14" t="str">
        <x:v>GL200-DI32 #2: CH22</x:v>
      </x:c>
      <x:c r="I135" s="14" t="str">
        <x:v>1 — нажата</x:v>
      </x:c>
    </x:row>
    <x:row r="136" ht="44" customHeight="1">
      <x:c r="A136" s="14" t="str">
        <x:v>DI</x:v>
      </x:c>
      <x:c r="B136" s="14" t="n">
        <x:v>84</x:v>
      </x:c>
      <x:c r="C136" s="14" t="str">
        <x:v>Кнопка запроса открытия двери 2</x:v>
      </x:c>
      <x:c r="D136" s="14" t="str">
        <x:v>есть в ПЛК</x:v>
      </x:c>
      <x:c r="E136" s="14" t="str">
        <x:v>GVL_CELL_SAFETY_IO.axDoorUnlockButtonInput[2]</x:v>
      </x:c>
      <x:c r="F136" s="14" t="str">
        <x:v>GVL_PHYSICAL_IO.xDiDoor2UnlockButton</x:v>
      </x:c>
      <x:c r="G136" s="14" t="str">
        <x:v>%IX264.7</x:v>
      </x:c>
      <x:c r="H136" s="14" t="str">
        <x:v>GL200-DI32 #2: CH23</x:v>
      </x:c>
      <x:c r="I136" s="14" t="str">
        <x:v>1 — нажата</x:v>
      </x:c>
    </x:row>
    <x:row r="137" ht="44" customHeight="1">
      <x:c r="A137" s="14" t="str">
        <x:v>DI</x:v>
      </x:c>
      <x:c r="B137" s="14" t="n">
        <x:v>85</x:v>
      </x:c>
      <x:c r="C137" s="14" t="str">
        <x:v>Кнопка запроса открытия двери 3</x:v>
      </x:c>
      <x:c r="D137" s="14" t="str">
        <x:v>есть в ПЛК</x:v>
      </x:c>
      <x:c r="E137" s="14" t="str">
        <x:v>GVL_CELL_SAFETY_IO.axDoorUnlockButtonInput[3]</x:v>
      </x:c>
      <x:c r="F137" s="14" t="str">
        <x:v>GVL_PHYSICAL_IO.xDiDoor3UnlockButton</x:v>
      </x:c>
      <x:c r="G137" s="14" t="str">
        <x:v>%IX265.0</x:v>
      </x:c>
      <x:c r="H137" s="14" t="str">
        <x:v>GL200-DI32 #2: CH24</x:v>
      </x:c>
      <x:c r="I137" s="14" t="str">
        <x:v>1 — нажата</x:v>
      </x:c>
    </x:row>
    <x:row r="138" ht="44" customHeight="1">
      <x:c r="A138" s="14" t="str">
        <x:v>DI</x:v>
      </x:c>
      <x:c r="B138" s="14" t="n">
        <x:v>86</x:v>
      </x:c>
      <x:c r="C138" s="14" t="str">
        <x:v>Кнопка запроса открытия двери 4</x:v>
      </x:c>
      <x:c r="D138" s="14" t="str">
        <x:v>есть в ПЛК</x:v>
      </x:c>
      <x:c r="E138" s="14" t="str">
        <x:v>GVL_CELL_SAFETY_IO.axDoorUnlockButtonInput[4]</x:v>
      </x:c>
      <x:c r="F138" s="14" t="str">
        <x:v>GVL_PHYSICAL_IO.xDiDoor4UnlockButton</x:v>
      </x:c>
      <x:c r="G138" s="14" t="str">
        <x:v>%IX265.1</x:v>
      </x:c>
      <x:c r="H138" s="14" t="str">
        <x:v>GL200-DI32 #2: CH25</x:v>
      </x:c>
      <x:c r="I138" s="14" t="str">
        <x:v>1 — нажата</x:v>
      </x:c>
    </x:row>
    <x:row r="139" ht="46" customHeight="1">
      <x:c r="A139" s="14" t="str">
        <x:v>DI</x:v>
      </x:c>
      <x:c r="B139" s="14" t="n">
        <x:v>87</x:v>
      </x:c>
      <x:c r="C139" s="14" t="str">
        <x:v>Замок втянут</x:v>
      </x:c>
      <x:c r="D139" s="14" t="str">
        <x:v>есть в ПЛК</x:v>
      </x:c>
      <x:c r="E139" s="14" t="str">
        <x:v>GVL_TWO_PALLET.astInput[2].xLockIn</x:v>
      </x:c>
      <x:c r="F139" s="14" t="str">
        <x:v>GVL_PHYSICAL_IO.xDiMagazine2LockIn</x:v>
      </x:c>
      <x:c r="G139" s="14" t="str">
        <x:v>%IX266.0</x:v>
      </x:c>
      <x:c r="H139" s="14" t="str">
        <x:v>GL200-DI32 #3: CH0 — модуль не установлен</x:v>
      </x:c>
      <x:c r="I139" s="14" t="str">
        <x:v>1 — геркон сработал; 1→0 без задержки</x:v>
      </x:c>
    </x:row>
    <x:row r="140" ht="46" customHeight="1">
      <x:c r="A140" s="14" t="str">
        <x:v>DI</x:v>
      </x:c>
      <x:c r="B140" s="14" t="n">
        <x:v>88</x:v>
      </x:c>
      <x:c r="C140" s="14" t="str">
        <x:v>Замок выдвинут</x:v>
      </x:c>
      <x:c r="D140" s="14" t="str">
        <x:v>есть в ПЛК</x:v>
      </x:c>
      <x:c r="E140" s="14" t="str">
        <x:v>GVL_TWO_PALLET.astInput[2].xLockOut</x:v>
      </x:c>
      <x:c r="F140" s="14" t="str">
        <x:v>GVL_PHYSICAL_IO.xDiMagazine2LockOut</x:v>
      </x:c>
      <x:c r="G140" s="14" t="str">
        <x:v>%IX266.1</x:v>
      </x:c>
      <x:c r="H140" s="14" t="str">
        <x:v>GL200-DI32 #3: CH1 — модуль не установлен</x:v>
      </x:c>
      <x:c r="I140" s="14" t="str">
        <x:v>1 — геркон сработал; 1→0 без задержки</x:v>
      </x:c>
    </x:row>
    <x:row r="141" ht="46" customHeight="1">
      <x:c r="A141" s="14" t="str">
        <x:v>DI</x:v>
      </x:c>
      <x:c r="B141" s="14" t="n">
        <x:v>89</x:v>
      </x:c>
      <x:c r="C141" s="14" t="str">
        <x:v>Фиксатор выдвинут</x:v>
      </x:c>
      <x:c r="D141" s="14" t="str">
        <x:v>есть в ПЛК</x:v>
      </x:c>
      <x:c r="E141" s="14" t="str">
        <x:v>GVL_TWO_PALLET.astInput[2].xStopIn</x:v>
      </x:c>
      <x:c r="F141" s="14" t="str">
        <x:v>GVL_PHYSICAL_IO.xDiMagazine2StopIn</x:v>
      </x:c>
      <x:c r="G141" s="14" t="str">
        <x:v>%IX266.2</x:v>
      </x:c>
      <x:c r="H141" s="14" t="str">
        <x:v>GL200-DI32 #3: CH2 — модуль не установлен</x:v>
      </x:c>
      <x:c r="I141" s="14" t="str">
        <x:v>1 — геркон сработал; 1→0 без задержки</x:v>
      </x:c>
    </x:row>
    <x:row r="142" ht="46" customHeight="1">
      <x:c r="A142" s="14" t="str">
        <x:v>DI</x:v>
      </x:c>
      <x:c r="B142" s="14" t="n">
        <x:v>90</x:v>
      </x:c>
      <x:c r="C142" s="14" t="str">
        <x:v>Фиксатор втянут</x:v>
      </x:c>
      <x:c r="D142" s="14" t="str">
        <x:v>есть в ПЛК</x:v>
      </x:c>
      <x:c r="E142" s="14" t="str">
        <x:v>GVL_TWO_PALLET.astInput[2].xStopOut</x:v>
      </x:c>
      <x:c r="F142" s="14" t="str">
        <x:v>GVL_PHYSICAL_IO.xDiMagazine2StopOut</x:v>
      </x:c>
      <x:c r="G142" s="14" t="str">
        <x:v>%IX266.3</x:v>
      </x:c>
      <x:c r="H142" s="14" t="str">
        <x:v>GL200-DI32 #3: CH3 — модуль не установлен</x:v>
      </x:c>
      <x:c r="I142" s="14" t="str">
        <x:v>1 — геркон сработал; 1→0 без задержки</x:v>
      </x:c>
    </x:row>
    <x:row r="143" ht="46" customHeight="1">
      <x:c r="A143" s="14" t="str">
        <x:v>DI</x:v>
      </x:c>
      <x:c r="B143" s="14" t="n">
        <x:v>91</x:v>
      </x:c>
      <x:c r="C143" s="14" t="str">
        <x:v>Подъёмник вверху</x:v>
      </x:c>
      <x:c r="D143" s="14" t="str">
        <x:v>есть в ПЛК</x:v>
      </x:c>
      <x:c r="E143" s="14" t="str">
        <x:v>GVL_TWO_PALLET.astInput[2].xLiftUp</x:v>
      </x:c>
      <x:c r="F143" s="14" t="str">
        <x:v>GVL_PHYSICAL_IO.xDiMagazine2LiftUp</x:v>
      </x:c>
      <x:c r="G143" s="14" t="str">
        <x:v>%IX266.4</x:v>
      </x:c>
      <x:c r="H143" s="14" t="str">
        <x:v>GL200-DI32 #3: CH4 — модуль не установлен</x:v>
      </x:c>
      <x:c r="I143" s="14" t="str">
        <x:v>1 — геркон сработал; 1→0 без задержки</x:v>
      </x:c>
    </x:row>
    <x:row r="144" ht="46" customHeight="1">
      <x:c r="A144" s="14" t="str">
        <x:v>DI</x:v>
      </x:c>
      <x:c r="B144" s="14" t="n">
        <x:v>92</x:v>
      </x:c>
      <x:c r="C144" s="14" t="str">
        <x:v>Подъёмник внизу</x:v>
      </x:c>
      <x:c r="D144" s="14" t="str">
        <x:v>есть в ПЛК</x:v>
      </x:c>
      <x:c r="E144" s="14" t="str">
        <x:v>GVL_TWO_PALLET.astInput[2].xLiftDown</x:v>
      </x:c>
      <x:c r="F144" s="14" t="str">
        <x:v>GVL_PHYSICAL_IO.xDiMagazine2LiftDown</x:v>
      </x:c>
      <x:c r="G144" s="14" t="str">
        <x:v>%IX266.5</x:v>
      </x:c>
      <x:c r="H144" s="14" t="str">
        <x:v>GL200-DI32 #3: CH5 — модуль не установлен</x:v>
      </x:c>
      <x:c r="I144" s="14" t="str">
        <x:v>1 — геркон сработал; 1→0 без задержки</x:v>
      </x:c>
    </x:row>
    <x:row r="145" ht="76" customHeight="1">
      <x:c r="A145" s="14" t="str">
        <x:v>DRIVE</x:v>
      </x:c>
      <x:c r="B145" s="14"/>
      <x:c r="C145" s="14" t="str">
        <x:v>Отрицательный концевик каретки</x:v>
      </x:c>
      <x:c r="D145" s="14" t="str">
        <x:v>нету в ПЛК</x:v>
      </x:c>
      <x:c r="E145" s="14" t="str">
        <x:v>Диагностика привода EtherCAT</x:v>
      </x:c>
      <x:c r="F145" s="14"/>
      <x:c r="G145" s="14"/>
      <x:c r="H145" s="14" t="str">
        <x:v>Серводрайвер магазина 1 / EtherCAT</x:v>
      </x:c>
      <x:c r="I145" s="14" t="str">
        <x:v>Концевик подключить непосредственно к серводрайверу. Ограничение движения контролирует привод; в PLC приходит диагностика по EtherCAT. Отдельный PDO этого концевика не назначен.</x:v>
      </x:c>
    </x:row>
    <x:row r="146" ht="76" customHeight="1">
      <x:c r="A146" s="14" t="str">
        <x:v>DRIVE</x:v>
      </x:c>
      <x:c r="B146" s="14"/>
      <x:c r="C146" s="14" t="str">
        <x:v>Положительный концевик каретки</x:v>
      </x:c>
      <x:c r="D146" s="14" t="str">
        <x:v>нету в ПЛК</x:v>
      </x:c>
      <x:c r="E146" s="14" t="str">
        <x:v>Диагностика привода EtherCAT</x:v>
      </x:c>
      <x:c r="F146" s="14"/>
      <x:c r="G146" s="14"/>
      <x:c r="H146" s="14" t="str">
        <x:v>Серводрайвер магазина 1 / EtherCAT</x:v>
      </x:c>
      <x:c r="I146" s="14" t="str">
        <x:v>Концевик подключить непосредственно к серводрайверу. Ограничение движения контролирует привод; в PLC приходит диагностика по EtherCAT. Отдельный PDO этого концевика не назначен.</x:v>
      </x:c>
    </x:row>
    <x:row r="147" ht="76" customHeight="1">
      <x:c r="A147" s="14" t="str">
        <x:v>DRIVE</x:v>
      </x:c>
      <x:c r="B147" s="14"/>
      <x:c r="C147" s="14" t="str">
        <x:v>Датчик дома каретки</x:v>
      </x:c>
      <x:c r="D147" s="14" t="str">
        <x:v>есть в ПЛК</x:v>
      </x:c>
      <x:c r="E147" s="14" t="str">
        <x:v>GVL_TWO_PALLET.astInput[1].xHomed</x:v>
      </x:c>
      <x:c r="F147" s="14"/>
      <x:c r="G147" s="14"/>
      <x:c r="H147" s="14" t="str">
        <x:v>Серводрайвер магазина 1 / EtherCAT</x:v>
      </x:c>
      <x:c r="I147" s="14" t="str">
        <x:v>Датчик подключить непосредственно к серводрайверу. PLC подаёт Home по EtherCAT через MC_Home, ждёт Done и xHomed. Это результат поиска дома, не уровень датчика.</x:v>
      </x:c>
    </x:row>
    <x:row r="148" ht="76" customHeight="1">
      <x:c r="A148" s="14" t="str">
        <x:v>DRIVE</x:v>
      </x:c>
      <x:c r="B148" s="14"/>
      <x:c r="C148" s="14" t="str">
        <x:v>Отрицательный концевик каретки</x:v>
      </x:c>
      <x:c r="D148" s="14" t="str">
        <x:v>нету в ПЛК</x:v>
      </x:c>
      <x:c r="E148" s="14" t="str">
        <x:v>Диагностика привода EtherCAT</x:v>
      </x:c>
      <x:c r="F148" s="14"/>
      <x:c r="G148" s="14"/>
      <x:c r="H148" s="14" t="str">
        <x:v>Серводрайвер магазина 2 / EtherCAT</x:v>
      </x:c>
      <x:c r="I148" s="14" t="str">
        <x:v>Концевик подключить непосредственно к серводрайверу. Ограничение движения контролирует привод; в PLC приходит диагностика по EtherCAT. Отдельный PDO этого концевика не назначен.</x:v>
      </x:c>
    </x:row>
    <x:row r="149" ht="76" customHeight="1">
      <x:c r="A149" s="14" t="str">
        <x:v>DRIVE</x:v>
      </x:c>
      <x:c r="B149" s="14"/>
      <x:c r="C149" s="14" t="str">
        <x:v>Положительный концевик каретки</x:v>
      </x:c>
      <x:c r="D149" s="14" t="str">
        <x:v>нету в ПЛК</x:v>
      </x:c>
      <x:c r="E149" s="14" t="str">
        <x:v>Диагностика привода EtherCAT</x:v>
      </x:c>
      <x:c r="F149" s="14"/>
      <x:c r="G149" s="14"/>
      <x:c r="H149" s="14" t="str">
        <x:v>Серводрайвер магазина 2 / EtherCAT</x:v>
      </x:c>
      <x:c r="I149" s="14" t="str">
        <x:v>Концевик подключить непосредственно к серводрайверу. Ограничение движения контролирует привод; в PLC приходит диагностика по EtherCAT. Отдельный PDO этого концевика не назначен.</x:v>
      </x:c>
    </x:row>
    <x:row r="150" ht="76" customHeight="1">
      <x:c r="A150" s="14" t="str">
        <x:v>DRIVE</x:v>
      </x:c>
      <x:c r="B150" s="14"/>
      <x:c r="C150" s="14" t="str">
        <x:v>Датчик дома каретки</x:v>
      </x:c>
      <x:c r="D150" s="14" t="str">
        <x:v>есть в ПЛК</x:v>
      </x:c>
      <x:c r="E150" s="14" t="str">
        <x:v>GVL_TWO_PALLET.astInput[2].xHomed</x:v>
      </x:c>
      <x:c r="F150" s="14"/>
      <x:c r="G150" s="14"/>
      <x:c r="H150" s="14" t="str">
        <x:v>Серводрайвер магазина 2 / EtherCAT</x:v>
      </x:c>
      <x:c r="I150" s="14" t="str">
        <x:v>Датчик подключить непосредственно к серводрайверу. PLC подаёт Home по EtherCAT через MC_Home, ждёт Done и xHomed. Это результат поиска дома, не уровень датчика.</x:v>
      </x:c>
    </x:row>
    <x:row r="151" ht="61" customHeight="1">
      <x:c r="A151" s="14" t="str">
        <x:v>SIM</x:v>
      </x:c>
      <x:c r="B151" s="14"/>
      <x:c r="C151" s="14" t="str">
        <x:v>Открыть операторскую дверь</x:v>
      </x:c>
      <x:c r="D151" s="14" t="str">
        <x:v>есть в ПЛК</x:v>
      </x:c>
      <x:c r="E151" s="14" t="str">
        <x:v>GVL_MACHINE.Command[1].stIo.xOpenSafetyDoor</x:v>
      </x:c>
      <x:c r="F151" s="14"/>
      <x:c r="G151" s="14"/>
      <x:c r="H151" s="14" t="str">
        <x:v>Модель станка</x:v>
      </x:c>
      <x:c r="I151" s="14" t="str">
        <x:v>Команда модели операторской двери только в тестовой среде; в NORMAL ручная дверь, только обратные статусы.</x:v>
      </x:c>
    </x:row>
    <x:row r="152" ht="61" customHeight="1">
      <x:c r="A152" s="14" t="str">
        <x:v>SIM</x:v>
      </x:c>
      <x:c r="B152" s="14"/>
      <x:c r="C152" s="14" t="str">
        <x:v>Закрыть операторскую дверь</x:v>
      </x:c>
      <x:c r="D152" s="14" t="str">
        <x:v>есть в ПЛК</x:v>
      </x:c>
      <x:c r="E152" s="14" t="str">
        <x:v>GVL_MACHINE.Command[1].stIo.xCloseSafetyDoor</x:v>
      </x:c>
      <x:c r="F152" s="14"/>
      <x:c r="G152" s="14"/>
      <x:c r="H152" s="14" t="str">
        <x:v>Модель станка</x:v>
      </x:c>
      <x:c r="I152" s="14" t="str">
        <x:v>Команда модели операторской двери только в тестовой среде; в NORMAL ручная дверь, только обратные статусы.</x:v>
      </x:c>
    </x:row>
    <x:row r="153" ht="61" customHeight="1">
      <x:c r="A153" s="14" t="str">
        <x:v>SIM</x:v>
      </x:c>
      <x:c r="B153" s="14"/>
      <x:c r="C153" s="14" t="str">
        <x:v>Открыть операторскую дверь</x:v>
      </x:c>
      <x:c r="D153" s="14" t="str">
        <x:v>есть в ПЛК</x:v>
      </x:c>
      <x:c r="E153" s="14" t="str">
        <x:v>GVL_MACHINE.Command[2].stIo.xOpenSafetyDoor</x:v>
      </x:c>
      <x:c r="F153" s="14"/>
      <x:c r="G153" s="14"/>
      <x:c r="H153" s="14" t="str">
        <x:v>Модель станка</x:v>
      </x:c>
      <x:c r="I153" s="14" t="str">
        <x:v>Команда модели операторской двери только в тестовой среде; в NORMAL ручная дверь, только обратные статусы.</x:v>
      </x:c>
    </x:row>
    <x:row r="154" ht="61" customHeight="1">
      <x:c r="A154" s="14" t="str">
        <x:v>SIM</x:v>
      </x:c>
      <x:c r="B154" s="14"/>
      <x:c r="C154" s="14" t="str">
        <x:v>Закрыть операторскую дверь</x:v>
      </x:c>
      <x:c r="D154" s="14" t="str">
        <x:v>есть в ПЛК</x:v>
      </x:c>
      <x:c r="E154" s="14" t="str">
        <x:v>GVL_MACHINE.Command[2].stIo.xCloseSafetyDoor</x:v>
      </x:c>
      <x:c r="F154" s="14"/>
      <x:c r="G154" s="14"/>
      <x:c r="H154" s="14" t="str">
        <x:v>Модель станка</x:v>
      </x:c>
      <x:c r="I154" s="14" t="str">
        <x:v>Команда модели операторской двери только в тестовой среде; в NORMAL ручная дверь, только обратные статусы.</x:v>
      </x:c>
    </x:row>
    <x:row r="155" ht="61" customHeight="1">
      <x:c r="A155" s="14" t="str">
        <x:v>SIM</x:v>
      </x:c>
      <x:c r="B155" s="14"/>
      <x:c r="C155" s="14" t="str">
        <x:v>Открыть операторскую дверь</x:v>
      </x:c>
      <x:c r="D155" s="14" t="str">
        <x:v>есть в ПЛК</x:v>
      </x:c>
      <x:c r="E155" s="14" t="str">
        <x:v>GVL_MACHINE.Command[3].stIo.xOpenSafetyDoor</x:v>
      </x:c>
      <x:c r="F155" s="14"/>
      <x:c r="G155" s="14"/>
      <x:c r="H155" s="14" t="str">
        <x:v>Модель станка</x:v>
      </x:c>
      <x:c r="I155" s="14" t="str">
        <x:v>Команда модели операторской двери только в тестовой среде; в NORMAL ручная дверь, только обратные статусы.</x:v>
      </x:c>
    </x:row>
    <x:row r="156" ht="61" customHeight="1">
      <x:c r="A156" s="15" t="str">
        <x:v>SIM</x:v>
      </x:c>
      <x:c r="B156" s="15"/>
      <x:c r="C156" s="15" t="str">
        <x:v>Закрыть операторскую дверь</x:v>
      </x:c>
      <x:c r="D156" s="15" t="str">
        <x:v>есть в ПЛК</x:v>
      </x:c>
      <x:c r="E156" s="15" t="str">
        <x:v>GVL_MACHINE.Command[3].stIo.xCloseSafetyDoor</x:v>
      </x:c>
      <x:c r="F156" s="15"/>
      <x:c r="G156" s="15"/>
      <x:c r="H156" s="15" t="str">
        <x:v>Модель станка</x:v>
      </x:c>
      <x:c r="I156" s="15" t="str">
        <x:v>Команда модели операторской двери только в тестовой среде; в NORMAL ручная дверь, только обратные статусы.</x:v>
      </x:c>
    </x:row>
    <x:row r="157" ht="27" customHeight="1"/>
    <x:row r="158" ht="27" customHeight="1"/>
    <x:row r="159" ht="28" customHeight="1">
      <x:c r="C159" s="12" t="str">
        <x:v>Источники</x:v>
      </x:c>
      <x:c r="D159" s="12" t="str">
        <x:v>Portal_robot/Device/application; DOKS/22-physical-io-map.json; DOKS/22-physical-io-mapping.md</x:v>
      </x:c>
      <x:c r="E159" s="12"/>
      <x:c r="F159" s="12"/>
      <x:c r="G159" s="12"/>
      <x:c r="H159" s="12"/>
      <x:c r="I159" s="12"/>
    </x:row>
    <x:row r="160" ht="28" customHeight="1">
      <x:c r="C160" s="12" t="str">
        <x:v>CODESYS I/O Mapping</x:v>
      </x:c>
      <x:c r="D160" s="12" t="str">
        <x:v>https://content.helpme-codesys.com/en/CODESYS%20Development%20System/_cds_configuring_devices_mapping_ios.html</x:v>
      </x:c>
      <x:c r="E160" s="12"/>
      <x:c r="F160" s="12"/>
      <x:c r="G160" s="12"/>
      <x:c r="H160" s="12"/>
      <x:c r="I160" s="12"/>
    </x:row>
    <x:row r="161" ht="28" customHeight="1">
      <x:c r="C161" s="12" t="str">
        <x:v>CODESYS адреса</x:v>
      </x:c>
      <x:c r="D161" s="12" t="str">
        <x:v>https://content.helpme-codesys.com/en/CODESYS%20Development%20System/_cds_operands_addresses.html</x:v>
      </x:c>
      <x:c r="E161" s="12"/>
      <x:c r="F161" s="12"/>
      <x:c r="G161" s="12"/>
      <x:c r="H161" s="12"/>
      <x:c r="I161" s="12"/>
    </x:row>
  </x:sheetData>
  <x:mergeCells>
    <x:mergeCell ref="A1:I1"/>
    <x:mergeCell ref="A2:I2"/>
    <x:mergeCell ref="A3:I3"/>
    <x:mergeCell ref="D159:I159"/>
    <x:mergeCell ref="D160:I160"/>
    <x:mergeCell ref="D161:I161"/>
  </x:mergeCells>
  <x:pageMargins left="0.7" right="0.7" top="0.75" bottom="0.75" header="0.3" footer="0.3"/>
</x:worksheet>
</file>