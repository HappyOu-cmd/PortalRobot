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KSHAROV IR\Desktop\Project\Portal robot\Файлы по проекту\Таблица сигналов\"/>
    </mc:Choice>
  </mc:AlternateContent>
  <bookViews>
    <workbookView xWindow="0" yWindow="0" windowWidth="5820" windowHeight="2670"/>
  </bookViews>
  <sheets>
    <sheet name="DO+DI" sheetId="1" r:id="rId1"/>
    <sheet name="Калькуляция DO+DI" sheetId="2" r:id="rId2"/>
  </sheets>
  <calcPr calcId="162913"/>
  <fileRecoveryPr repairLoad="1"/>
</workbook>
</file>

<file path=xl/calcChain.xml><?xml version="1.0" encoding="utf-8"?>
<calcChain xmlns="http://schemas.openxmlformats.org/spreadsheetml/2006/main">
  <c r="C9" i="2" l="1"/>
  <c r="B9" i="2"/>
  <c r="C4" i="2"/>
  <c r="C13" i="2" s="1"/>
  <c r="B4" i="2"/>
  <c r="B13" i="2" s="1"/>
  <c r="B10" i="2" l="1"/>
  <c r="C10" i="2"/>
  <c r="B11" i="2"/>
  <c r="C11" i="2"/>
</calcChain>
</file>

<file path=xl/sharedStrings.xml><?xml version="1.0" encoding="utf-8"?>
<sst xmlns="http://schemas.openxmlformats.org/spreadsheetml/2006/main" count="963" uniqueCount="576">
  <si>
    <t>РАСЧЁТ ДИСКРЕТНЫХ ВХОДОВ / ВЫХОДОВ</t>
  </si>
  <si>
    <t>Параметр</t>
  </si>
  <si>
    <t>DO · выходы</t>
  </si>
  <si>
    <t>DI · входы</t>
  </si>
  <si>
    <t>Всего назначено + резерв HSC</t>
  </si>
  <si>
    <t>Базовые I/O ПЛК</t>
  </si>
  <si>
    <t>Модуль расширения</t>
  </si>
  <si>
    <t>GL200-DQ16D</t>
  </si>
  <si>
    <t>Каналов в одном модуле</t>
  </si>
  <si>
    <t>Установлено модулей</t>
  </si>
  <si>
    <t>Всего доступно каналов</t>
  </si>
  <si>
    <t>Свободно / нехватка (−)</t>
  </si>
  <si>
    <t>Требуется ещё модулей</t>
  </si>
  <si>
    <t>Из них резерв MPG HSC</t>
  </si>
  <si>
    <t>Обычные дискретные точки</t>
  </si>
  <si>
    <t>Дискретные выходы · DO</t>
  </si>
  <si>
    <t>Дискретные входы · DI</t>
  </si>
  <si>
    <t>Категория</t>
  </si>
  <si>
    <t>Название</t>
  </si>
  <si>
    <t>Адрес (план)</t>
  </si>
  <si>
    <t>Назначение</t>
  </si>
  <si>
    <t>Имя в ПЛК</t>
  </si>
  <si>
    <t>Подключение</t>
  </si>
  <si>
    <t>Статус</t>
  </si>
  <si>
    <t>Станок 1</t>
  </si>
  <si>
    <t>Открыть роботный люк/Закрыть роботный люк</t>
  </si>
  <si>
    <t>%QX256.0</t>
  </si>
  <si>
    <t>0 — открыть люк; 1 — закрыть. Уровень удерживается между командами.</t>
  </si>
  <si>
    <t>GVL_PHYSICAL_IO.xDoMachine1HatchClosed</t>
  </si>
  <si>
    <t>MC522: DO_CH0</t>
  </si>
  <si>
    <t>есть в ПЛК</t>
  </si>
  <si>
    <t>Станок готов к работе с роботом</t>
  </si>
  <si>
    <t>%IX256.2</t>
  </si>
  <si>
    <t>1 — указанное состояние; 1→0 без задержки</t>
  </si>
  <si>
    <t>GVL_PHYSICAL_IO.xDiMachine1Ready</t>
  </si>
  <si>
    <t>MC522: DI_CH2</t>
  </si>
  <si>
    <t>Открыть замок люка</t>
  </si>
  <si>
    <t>%QX256.1</t>
  </si>
  <si>
    <t>1 — команда активна</t>
  </si>
  <si>
    <t>GVL_PHYSICAL_IO.xDoMachine1HatchUnLock</t>
  </si>
  <si>
    <t>MC522: DO_CH1</t>
  </si>
  <si>
    <t>Авария станка</t>
  </si>
  <si>
    <t>%IX256.3</t>
  </si>
  <si>
    <t>1 — авария; снимается физически человеком; 0→1 без задержки</t>
  </si>
  <si>
    <t>GVL_PHYSICAL_IO.xDiMachine1Alarm</t>
  </si>
  <si>
    <t>MC522: DI_CH3</t>
  </si>
  <si>
    <t>Зажать патрон</t>
  </si>
  <si>
    <t>%QX256.2</t>
  </si>
  <si>
    <t>GVL_PHYSICAL_IO.xDoMachine1ClampChuck</t>
  </si>
  <si>
    <t>MC522: DO_CH2</t>
  </si>
  <si>
    <t>Роботный люк открыт</t>
  </si>
  <si>
    <t>%IX256.4</t>
  </si>
  <si>
    <t>GVL_PHYSICAL_IO.xDiMachine1DoorOpen</t>
  </si>
  <si>
    <t>MC522: DI_CH4</t>
  </si>
  <si>
    <t>Разжать патрон</t>
  </si>
  <si>
    <t>%QX256.3</t>
  </si>
  <si>
    <t>GVL_PHYSICAL_IO.xDoMachine1UnclampChuck</t>
  </si>
  <si>
    <t>MC522: DO_CH3</t>
  </si>
  <si>
    <t>Роботный люк закрыт</t>
  </si>
  <si>
    <t>%IX256.5</t>
  </si>
  <si>
    <t>GVL_PHYSICAL_IO.xDiMachine1DoorClosed</t>
  </si>
  <si>
    <t>MC522: DI_CH5</t>
  </si>
  <si>
    <t>Запустить обработку</t>
  </si>
  <si>
    <t>%QX256.4</t>
  </si>
  <si>
    <t>GVL_PHYSICAL_IO.xDoMachine1StartCycle</t>
  </si>
  <si>
    <t>MC522: DO_CH4</t>
  </si>
  <si>
    <t>%IX256.6</t>
  </si>
  <si>
    <t>GVL_PHYSICAL_IO.xDiMachine1HatchLocked</t>
  </si>
  <si>
    <t>MC522: DI_CH6</t>
  </si>
  <si>
    <t>GL200-DQ16D #2: CH4</t>
  </si>
  <si>
    <t>Операторская дверь открыта</t>
  </si>
  <si>
    <t>%IX256.7</t>
  </si>
  <si>
    <t>GVL_PHYSICAL_IO.xDiMachine1SafetyDoorOpen</t>
  </si>
  <si>
    <t>MC522: DI_CH7</t>
  </si>
  <si>
    <t>Станок 2</t>
  </si>
  <si>
    <t>%QX256.5</t>
  </si>
  <si>
    <t>GVL_PHYSICAL_IO.xDoMachine2HatchClosed</t>
  </si>
  <si>
    <t>MC522: DO_CH5</t>
  </si>
  <si>
    <t>Операторская дверь закрыта</t>
  </si>
  <si>
    <t>%IX257.0</t>
  </si>
  <si>
    <t>GVL_PHYSICAL_IO.xDiMachine1SafetyDoorClosed</t>
  </si>
  <si>
    <t>MC522: DI_CH8</t>
  </si>
  <si>
    <t>%QX256.6</t>
  </si>
  <si>
    <t>GVL_PHYSICAL_IO.xDoMachine2HatchUnLock</t>
  </si>
  <si>
    <t>MC522: DO_CH6</t>
  </si>
  <si>
    <t>Патрон зажат</t>
  </si>
  <si>
    <t>%IX257.1</t>
  </si>
  <si>
    <t>GVL_PHYSICAL_IO.xDiMachine1ChuckClamped</t>
  </si>
  <si>
    <t>MC522: DI_CH9</t>
  </si>
  <si>
    <t>%QX256.7</t>
  </si>
  <si>
    <t>GVL_PHYSICAL_IO.xDoMachine2ClampChuck</t>
  </si>
  <si>
    <t>MC522: DO_CH7</t>
  </si>
  <si>
    <t>Патрон разжат</t>
  </si>
  <si>
    <t>%IX257.2</t>
  </si>
  <si>
    <t>GVL_PHYSICAL_IO.xDiMachine1ChuckUnclamped</t>
  </si>
  <si>
    <t>MC522: DI_CH10</t>
  </si>
  <si>
    <t>%QX257.0</t>
  </si>
  <si>
    <t>GVL_PHYSICAL_IO.xDoMachine2UnclampChuck</t>
  </si>
  <si>
    <t>MC522: DO_CH8</t>
  </si>
  <si>
    <t>Цикл обработки активен</t>
  </si>
  <si>
    <t>%IX257.3</t>
  </si>
  <si>
    <t>1 — указанное состояние</t>
  </si>
  <si>
    <t>GVL_PHYSICAL_IO.xDiMachine1CycleActive</t>
  </si>
  <si>
    <t>MC522: DI_CH11</t>
  </si>
  <si>
    <t>%QX257.1</t>
  </si>
  <si>
    <t>GVL_PHYSICAL_IO.xDoMachine2StartCycle</t>
  </si>
  <si>
    <t>MC522: DO_CH9</t>
  </si>
  <si>
    <t>Цикл обработки завершён</t>
  </si>
  <si>
    <t>%IX257.4</t>
  </si>
  <si>
    <t>GVL_PHYSICAL_IO.xDiMachine1CycleDone</t>
  </si>
  <si>
    <t>MC522: DI_CH12</t>
  </si>
  <si>
    <t>GL200-DQ16D #2: CH5</t>
  </si>
  <si>
    <t>%IX257.5</t>
  </si>
  <si>
    <t>GVL_PHYSICAL_IO.xDiMachine2Ready</t>
  </si>
  <si>
    <t>MC522: DI_CH13</t>
  </si>
  <si>
    <t>Станок 3</t>
  </si>
  <si>
    <t>%QX257.2</t>
  </si>
  <si>
    <t>GVL_PHYSICAL_IO.xDoMachine3HatchClosed</t>
  </si>
  <si>
    <t>MC522: DO_CH10</t>
  </si>
  <si>
    <t>%IX257.6</t>
  </si>
  <si>
    <t>GVL_PHYSICAL_IO.xDiMachine2Alarm</t>
  </si>
  <si>
    <t>MC522: DI_CH14</t>
  </si>
  <si>
    <t>%QX257.3</t>
  </si>
  <si>
    <t>GVL_PHYSICAL_IO.xDoMachine3HatchUnLock</t>
  </si>
  <si>
    <t>MC522: DO_CH11</t>
  </si>
  <si>
    <t>%IX257.7</t>
  </si>
  <si>
    <t>GVL_PHYSICAL_IO.xDiMachine2DoorOpen</t>
  </si>
  <si>
    <t>MC522: DI_CH15</t>
  </si>
  <si>
    <t>%QX257.4</t>
  </si>
  <si>
    <t>GVL_PHYSICAL_IO.xDoMachine3ClampChuck</t>
  </si>
  <si>
    <t>MC522: DO_CH12</t>
  </si>
  <si>
    <t>%IX258.0</t>
  </si>
  <si>
    <t>GVL_PHYSICAL_IO.xDiMachine2DoorClosed</t>
  </si>
  <si>
    <t>%QX257.5</t>
  </si>
  <si>
    <t>GVL_PHYSICAL_IO.xDoMachine3UnclampChuck</t>
  </si>
  <si>
    <t>MC522: DO_CH13</t>
  </si>
  <si>
    <t>%IX258.1</t>
  </si>
  <si>
    <t>GVL_PHYSICAL_IO.xDiMachine2HatchLocked</t>
  </si>
  <si>
    <t>%QX257.6</t>
  </si>
  <si>
    <t>GVL_PHYSICAL_IO.xDoMachine3StartCycle</t>
  </si>
  <si>
    <t>MC522: DO_CH14</t>
  </si>
  <si>
    <t>%IX258.2</t>
  </si>
  <si>
    <t>GVL_PHYSICAL_IO.xDiMachine2SafetyDoorOpen</t>
  </si>
  <si>
    <t>GL200-DQ16D #2: CH6</t>
  </si>
  <si>
    <t>%IX258.3</t>
  </si>
  <si>
    <t>GVL_PHYSICAL_IO.xDiMachine2SafetyDoorClosed</t>
  </si>
  <si>
    <t>Захват</t>
  </si>
  <si>
    <t>Открыть захват 1 / Закрыть захват 1</t>
  </si>
  <si>
    <t>%QX257.7</t>
  </si>
  <si>
    <t>GVL_PHYSICAL_IO.xDoGripper1Open</t>
  </si>
  <si>
    <t>MC522: DO_CH15</t>
  </si>
  <si>
    <t>%IX258.4</t>
  </si>
  <si>
    <t>GVL_PHYSICAL_IO.xDiMachine2ChuckClamped</t>
  </si>
  <si>
    <t>Открыть захват 2 / Закрыть захват 2</t>
  </si>
  <si>
    <t>%QX258.0</t>
  </si>
  <si>
    <t>GVL_PHYSICAL_IO.xDoGripper2Open</t>
  </si>
  <si>
    <t>GL200-DQ16D #1: CH0</t>
  </si>
  <si>
    <t>%IX258.5</t>
  </si>
  <si>
    <t>GVL_PHYSICAL_IO.xDiMachine2ChuckUnclamped</t>
  </si>
  <si>
    <t>Повернуть к заготовке / Повернуть к детали</t>
  </si>
  <si>
    <t>%QX258.1</t>
  </si>
  <si>
    <t>GVL_PHYSICAL_IO.xDoRotateToDetail</t>
  </si>
  <si>
    <t>GL200-DQ16D #1: CH1</t>
  </si>
  <si>
    <t>%IX258.6</t>
  </si>
  <si>
    <t>GVL_PHYSICAL_IO.xDiMachine2CycleActive</t>
  </si>
  <si>
    <t>Забор, дверь 1</t>
  </si>
  <si>
    <t>Открыть замок двери 1</t>
  </si>
  <si>
    <t>%QX258.2</t>
  </si>
  <si>
    <t>1 — разблокировать замок двери</t>
  </si>
  <si>
    <t>GVL_PHYSICAL_IO.xDoDoor1Unlock</t>
  </si>
  <si>
    <t>GL200-DQ16D #1: CH2</t>
  </si>
  <si>
    <t>%IX258.7</t>
  </si>
  <si>
    <t>GVL_PHYSICAL_IO.xDiMachine2CycleDone</t>
  </si>
  <si>
    <t>Забор, дверь 2</t>
  </si>
  <si>
    <t>Открыть замок двери 2</t>
  </si>
  <si>
    <t>%QX258.3</t>
  </si>
  <si>
    <t>GVL_PHYSICAL_IO.xDoDoor2Unlock</t>
  </si>
  <si>
    <t>GL200-DQ16D #1: CH3</t>
  </si>
  <si>
    <t>%IX259.0</t>
  </si>
  <si>
    <t>GVL_PHYSICAL_IO.xDiMachine3Ready</t>
  </si>
  <si>
    <t>Забор, дверь 3</t>
  </si>
  <si>
    <t>Открыть замок двери 3</t>
  </si>
  <si>
    <t>%QX258.4</t>
  </si>
  <si>
    <t>GVL_PHYSICAL_IO.xDoDoor3Unlock</t>
  </si>
  <si>
    <t>GL200-DQ16D #1: CH4</t>
  </si>
  <si>
    <t>%IX259.1</t>
  </si>
  <si>
    <t>GVL_PHYSICAL_IO.xDiMachine3Alarm</t>
  </si>
  <si>
    <t>Забор, дверь 4</t>
  </si>
  <si>
    <t>Открыть замок двери 4</t>
  </si>
  <si>
    <t>%QX258.5</t>
  </si>
  <si>
    <t>GVL_PHYSICAL_IO.xDoDoor4Unlock</t>
  </si>
  <si>
    <t>GL200-DQ16D #1: CH5</t>
  </si>
  <si>
    <t>%IX259.2</t>
  </si>
  <si>
    <t>GVL_PHYSICAL_IO.xDiMachine3DoorOpen</t>
  </si>
  <si>
    <t>Цепь безопасности</t>
  </si>
  <si>
    <t>Сигнал сброса на реле безопасности 1</t>
  </si>
  <si>
    <t>%QX258.6</t>
  </si>
  <si>
    <t>GVL_PHYSICAL_IO.xDoSafetyRelayReset</t>
  </si>
  <si>
    <t>GL200-DQ16D #1: CH6</t>
  </si>
  <si>
    <t>%IX259.3</t>
  </si>
  <si>
    <t>GVL_PHYSICAL_IO.xDiMachine3DoorClosed</t>
  </si>
  <si>
    <t>Светофор</t>
  </si>
  <si>
    <t>Зеленый цвет</t>
  </si>
  <si>
    <t>%QX258.7</t>
  </si>
  <si>
    <t>Уровень с миганием из PLC_PRG.RunSignalTower</t>
  </si>
  <si>
    <t>GVL_PHYSICAL_IO.xDoSignalTowerGreenOutput</t>
  </si>
  <si>
    <t>GL200-DQ16D #1: CH7</t>
  </si>
  <si>
    <t>%IX259.4</t>
  </si>
  <si>
    <t>GVL_PHYSICAL_IO.xDiMachine3HatchLocked</t>
  </si>
  <si>
    <t>Желтый цвет</t>
  </si>
  <si>
    <t>%QX259.0</t>
  </si>
  <si>
    <t>GVL_PHYSICAL_IO.xDoSignalTowerAmberOutput</t>
  </si>
  <si>
    <t>GL200-DQ16D #1: CH8</t>
  </si>
  <si>
    <t>%IX259.5</t>
  </si>
  <si>
    <t>GVL_PHYSICAL_IO.xDiMachine3SafetyDoorOpen</t>
  </si>
  <si>
    <t>Красный цвет</t>
  </si>
  <si>
    <t>%QX259.1</t>
  </si>
  <si>
    <t>GVL_PHYSICAL_IO.xDoSignalTowerRedOutput</t>
  </si>
  <si>
    <t>GL200-DQ16D #1: CH9</t>
  </si>
  <si>
    <t>%IX259.6</t>
  </si>
  <si>
    <t>GVL_PHYSICAL_IO.xDiMachine3SafetyDoorClosed</t>
  </si>
  <si>
    <t>Ячейка</t>
  </si>
  <si>
    <t>Гудок</t>
  </si>
  <si>
    <t>%QX260.7</t>
  </si>
  <si>
    <t>GVL_PHYSICAL_IO.xDoCellAlarmHorn</t>
  </si>
  <si>
    <t>GL200-DQ16D #2: CH7</t>
  </si>
  <si>
    <t>%IX259.7</t>
  </si>
  <si>
    <t>GVL_PHYSICAL_IO.xDiMachine3ChuckClamped</t>
  </si>
  <si>
    <t>Световая индикация кнопки 1</t>
  </si>
  <si>
    <t>%QX259.2</t>
  </si>
  <si>
    <t>Готовый уровень индикации из FB_CELL_SAFETY</t>
  </si>
  <si>
    <t>GVL_PHYSICAL_IO.xDoDoor1ButtonLamp</t>
  </si>
  <si>
    <t>%IX260.0</t>
  </si>
  <si>
    <t>GVL_PHYSICAL_IO.xDiMachine3ChuckUnclamped</t>
  </si>
  <si>
    <t>Световая индикация кнопки 2</t>
  </si>
  <si>
    <t>%QX259.3</t>
  </si>
  <si>
    <t>GVL_PHYSICAL_IO.xDoDoor2ButtonLamp</t>
  </si>
  <si>
    <t>GL200-DQ16D #1: CH11</t>
  </si>
  <si>
    <t>%IX260.1</t>
  </si>
  <si>
    <t>GVL_PHYSICAL_IO.xDiMachine3CycleActive</t>
  </si>
  <si>
    <t>Световая индикация кнопки 3</t>
  </si>
  <si>
    <t>%QX259.4</t>
  </si>
  <si>
    <t>GVL_PHYSICAL_IO.xDoDoor3ButtonLamp</t>
  </si>
  <si>
    <t>GL200-DQ16D #1: CH12</t>
  </si>
  <si>
    <t>%IX260.2</t>
  </si>
  <si>
    <t>GVL_PHYSICAL_IO.xDiMachine3CycleDone</t>
  </si>
  <si>
    <t>Световая индикация кнопки 4</t>
  </si>
  <si>
    <t>%QX259.5</t>
  </si>
  <si>
    <t>GVL_PHYSICAL_IO.xDoDoor4ButtonLamp</t>
  </si>
  <si>
    <t>GL200-DQ16D #1: CH13</t>
  </si>
  <si>
    <t>Захват 1 открыт</t>
  </si>
  <si>
    <t>%IX260.3</t>
  </si>
  <si>
    <t>1 — указанная позиция; в Modbus источником остаётся SC-500; 1→0 без задержки</t>
  </si>
  <si>
    <t>GVL_PHYSICAL_IO.xDiGripper1Open</t>
  </si>
  <si>
    <t>Магазин 1</t>
  </si>
  <si>
    <t>Замок втянут (катушка)</t>
  </si>
  <si>
    <t>%QX259.6</t>
  </si>
  <si>
    <t>GVL_PHYSICAL_IO.xDoMagazine1LockIn</t>
  </si>
  <si>
    <t>GL200-DQ16D #1: CH14</t>
  </si>
  <si>
    <t>Захват 1 закрыт</t>
  </si>
  <si>
    <t>%IX260.4</t>
  </si>
  <si>
    <t>GVL_PHYSICAL_IO.xDiGripper1Closed</t>
  </si>
  <si>
    <t>Замок выдвинут (катушка)</t>
  </si>
  <si>
    <t>%QX259.7</t>
  </si>
  <si>
    <t>GVL_PHYSICAL_IO.xDoMagazine1LockOut</t>
  </si>
  <si>
    <t>GL200-DQ16D #1: CH15</t>
  </si>
  <si>
    <t>Захват 2 открыт</t>
  </si>
  <si>
    <t>%IX260.5</t>
  </si>
  <si>
    <t>GVL_PHYSICAL_IO.xDiGripper2Open</t>
  </si>
  <si>
    <t>Фиксатор выдвинут (катушка)</t>
  </si>
  <si>
    <t>%QX260.0</t>
  </si>
  <si>
    <t>GVL_PHYSICAL_IO.xDoMagazine1StopIn</t>
  </si>
  <si>
    <t>GL200-DQ16D #2: CH0</t>
  </si>
  <si>
    <t>Захват 2 закрыт</t>
  </si>
  <si>
    <t>%IX260.6</t>
  </si>
  <si>
    <t>GVL_PHYSICAL_IO.xDiGripper2Closed</t>
  </si>
  <si>
    <t>Фиксатор втянут (катушка)</t>
  </si>
  <si>
    <t>%QX260.1</t>
  </si>
  <si>
    <t>GVL_PHYSICAL_IO.xDoMagazine1StopOut</t>
  </si>
  <si>
    <t>GL200-DQ16D #2: CH1</t>
  </si>
  <si>
    <t>Поворот к заготовке</t>
  </si>
  <si>
    <t>%IX260.7</t>
  </si>
  <si>
    <t>GVL_PHYSICAL_IO.xDiRotatedToBlank</t>
  </si>
  <si>
    <t>Подъёмник вверху (катушка)</t>
  </si>
  <si>
    <t>%QX260.2</t>
  </si>
  <si>
    <t>GVL_PHYSICAL_IO.xDoMagazine1LiftUp</t>
  </si>
  <si>
    <t>GL200-DQ16D #2: CH2</t>
  </si>
  <si>
    <t>Поворот к детали</t>
  </si>
  <si>
    <t>%IX261.0</t>
  </si>
  <si>
    <t>GVL_PHYSICAL_IO.xDiRotatedToDetail</t>
  </si>
  <si>
    <t>Подъёмник внизу (катушка)</t>
  </si>
  <si>
    <t>%QX260.3</t>
  </si>
  <si>
    <t>GVL_PHYSICAL_IO.xDoMagazine1LiftDown</t>
  </si>
  <si>
    <t>GL200-DQ16D #2: CH3</t>
  </si>
  <si>
    <t>Кнопки, СТАРТ</t>
  </si>
  <si>
    <t>Запустить ячейку в работу</t>
  </si>
  <si>
    <t>%IX261.1</t>
  </si>
  <si>
    <t>GVL_PHYSICAL_IO.xDiCellStartButtonInput</t>
  </si>
  <si>
    <t>ГК, магазин 1</t>
  </si>
  <si>
    <t>ГК привод — Пуск / Стоп</t>
  </si>
  <si>
    <t>%QX261.0</t>
  </si>
  <si>
    <t>GVL_PHYSICAL_IO.xDoGk1DriveRun</t>
  </si>
  <si>
    <t>GL200-DQ16D #2: CH8</t>
  </si>
  <si>
    <t>Кнопки, СТОП</t>
  </si>
  <si>
    <t>Вывести ячейку из работы</t>
  </si>
  <si>
    <t>%IX261.2</t>
  </si>
  <si>
    <t>GVL_PHYSICAL_IO.xDiCellStopButtonInput</t>
  </si>
  <si>
    <t>ГК привод — Сброс аварии</t>
  </si>
  <si>
    <t>%QX261.1</t>
  </si>
  <si>
    <t>GVL_PHYSICAL_IO.xDoGk1DriveReset</t>
  </si>
  <si>
    <t>GL200-DQ16D #2: CH9</t>
  </si>
  <si>
    <t>Кнопки, СБРОС</t>
  </si>
  <si>
    <t>Сбросить ошибки ячейку</t>
  </si>
  <si>
    <t>%IX261.3</t>
  </si>
  <si>
    <t>GVL_PHYSICAL_IO.xDiCellResetButtonInput</t>
  </si>
  <si>
    <t>ГК, магазин 2</t>
  </si>
  <si>
    <t>GVL_PHYSICAL_IO.xDoGk2DriveRun</t>
  </si>
  <si>
    <t>Забор, грибок 1</t>
  </si>
  <si>
    <t>Аварийный грибок 1</t>
  </si>
  <si>
    <t>%IX261.4</t>
  </si>
  <si>
    <t>GVL_PHYSICAL_IO.xDiEmergencyStopStation1Ok</t>
  </si>
  <si>
    <t>GVL_PHYSICAL_IO.xDoGk2DriveReset</t>
  </si>
  <si>
    <t>Забор, грибок 2</t>
  </si>
  <si>
    <t>Аварийный грибок 2</t>
  </si>
  <si>
    <t>%IX261.5</t>
  </si>
  <si>
    <t>GVL_PHYSICAL_IO.xDiEmergencyStopStation2Ok</t>
  </si>
  <si>
    <t>Магазин 2</t>
  </si>
  <si>
    <t>%QX261.2</t>
  </si>
  <si>
    <t>GVL_PHYSICAL_IO.xDoMagazine2LockIn</t>
  </si>
  <si>
    <t>GL200-DQ16D #2: CH10</t>
  </si>
  <si>
    <t>Забор, грибок 3</t>
  </si>
  <si>
    <t>Аварийный грибок 3</t>
  </si>
  <si>
    <t>%IX261.6</t>
  </si>
  <si>
    <t>GVL_PHYSICAL_IO.xDiEmergencyStopStation3Ok</t>
  </si>
  <si>
    <t>%QX261.3</t>
  </si>
  <si>
    <t>GVL_PHYSICAL_IO.xDoMagazine2LockOut</t>
  </si>
  <si>
    <t>GL200-DQ16D #2: CH11</t>
  </si>
  <si>
    <t>Забор, грибок 4</t>
  </si>
  <si>
    <t>Аварийный грибок 4</t>
  </si>
  <si>
    <t>%IX261.7</t>
  </si>
  <si>
    <t>GVL_PHYSICAL_IO.xDiEmergencyStopStation4Ok</t>
  </si>
  <si>
    <t>%QX261.4</t>
  </si>
  <si>
    <t>GVL_PHYSICAL_IO.xDoMagazine2StopIn</t>
  </si>
  <si>
    <t>GL200-DQ16D #2: CH12</t>
  </si>
  <si>
    <t>шкаф оператора</t>
  </si>
  <si>
    <t>Аварийный грибок 5</t>
  </si>
  <si>
    <t>%IX262.0</t>
  </si>
  <si>
    <t>GVL_PHYSICAL_IO.xDiEmergencyStopCabinet1Ok</t>
  </si>
  <si>
    <t>%QX261.5</t>
  </si>
  <si>
    <t>GVL_PHYSICAL_IO.xDoMagazine2StopOut</t>
  </si>
  <si>
    <t>GL200-DQ16D #2: CH13</t>
  </si>
  <si>
    <t>шкаф управления</t>
  </si>
  <si>
    <t>Аварийный грибок 6</t>
  </si>
  <si>
    <t>%IX262.1</t>
  </si>
  <si>
    <t>GVL_PHYSICAL_IO.xDiEmergencyStopCabinet2Ok</t>
  </si>
  <si>
    <t>%QX261.6</t>
  </si>
  <si>
    <t>GVL_PHYSICAL_IO.xDoMagazine2LiftUp</t>
  </si>
  <si>
    <t>GL200-DQ16D #2: CH14</t>
  </si>
  <si>
    <t>MPG пульт, грибок 7</t>
  </si>
  <si>
    <t>Аварийный грибок 7</t>
  </si>
  <si>
    <t>%IX262.2</t>
  </si>
  <si>
    <t>GVL_PHYSICAL_IO.xDiEmergencyStopMpgOk</t>
  </si>
  <si>
    <t>GVL_PHYSICAL_IO.xDoMagazine2LiftDown</t>
  </si>
  <si>
    <t>%IX262.3</t>
  </si>
  <si>
    <t>GVL_PHYSICAL_IO.xDiDoor1LockClosed</t>
  </si>
  <si>
    <t>%IX262.4</t>
  </si>
  <si>
    <t>GVL_PHYSICAL_IO.xDiDoor2LockClosed</t>
  </si>
  <si>
    <t>%IX262.5</t>
  </si>
  <si>
    <t>GVL_PHYSICAL_IO.xDiDoor3LockClosed</t>
  </si>
  <si>
    <t>%IX262.6</t>
  </si>
  <si>
    <t>GVL_PHYSICAL_IO.xDiDoor4LockClosed</t>
  </si>
  <si>
    <t>Реле безопасности 1</t>
  </si>
  <si>
    <t>Реле безопасности 1, взведено</t>
  </si>
  <si>
    <t>%IX262.7</t>
  </si>
  <si>
    <t>1 — норма; потеря нормы проходит без задержки; 1→0 без задержки</t>
  </si>
  <si>
    <t>GVL_PHYSICAL_IO.xDiSafetyRelayOkInput</t>
  </si>
  <si>
    <t>Реле контроля фаз</t>
  </si>
  <si>
    <t>Фазы совпадают</t>
  </si>
  <si>
    <t>%IX263.0</t>
  </si>
  <si>
    <t>GVL_PHYSICAL_IO.xDiPhaseRelayOkInput</t>
  </si>
  <si>
    <t>Сигнал низкого давления</t>
  </si>
  <si>
    <t>Давление стабильно</t>
  </si>
  <si>
    <t>%IX263.1</t>
  </si>
  <si>
    <t>GVL_PHYSICAL_IO.xDiPressureRelayOkInput</t>
  </si>
  <si>
    <t>MPG пульт</t>
  </si>
  <si>
    <t>Энкодер A +</t>
  </si>
  <si>
    <t>%IX256.0</t>
  </si>
  <si>
    <t>Резерв быстрого входа CPU под фазу A. Аппаратный квадратурный счётчик и согласование уровня ещё не реализованы.</t>
  </si>
  <si>
    <t>Не реализован (HSC A)</t>
  </si>
  <si>
    <t>MC522: DI_CH0 / HSC, резерв</t>
  </si>
  <si>
    <t>нету в ПЛК</t>
  </si>
  <si>
    <t>Энкодер B +</t>
  </si>
  <si>
    <t>%IX256.1</t>
  </si>
  <si>
    <t>Резерв быстрого входа CPU под фазу B. Аппаратный квадратурный счётчик и согласование уровня ещё не реализованы.</t>
  </si>
  <si>
    <t>Не реализован (HSC B)</t>
  </si>
  <si>
    <t>MC522: DI_CH1 / HSC, резерв</t>
  </si>
  <si>
    <t>Выбор оси X</t>
  </si>
  <si>
    <t>%IX263.2</t>
  </si>
  <si>
    <t>GVL_PHYSICAL_IO.xDiMpgAxisXInput</t>
  </si>
  <si>
    <t>Выбор оси Y</t>
  </si>
  <si>
    <t>%IX263.3</t>
  </si>
  <si>
    <t>GVL_PHYSICAL_IO.xDiMpgAxisYInput</t>
  </si>
  <si>
    <t>Выбор оси Z</t>
  </si>
  <si>
    <t>%IX263.4</t>
  </si>
  <si>
    <t>GVL_PHYSICAL_IO.xDiMpgAxisZInput</t>
  </si>
  <si>
    <t>Множитель ×1</t>
  </si>
  <si>
    <t>%IX263.5</t>
  </si>
  <si>
    <t>GVL_PHYSICAL_IO.xDiMpgMultiplier1Input</t>
  </si>
  <si>
    <t>Множитель ×10</t>
  </si>
  <si>
    <t>%IX263.6</t>
  </si>
  <si>
    <t>GVL_PHYSICAL_IO.xDiMpgMultiplier10Input</t>
  </si>
  <si>
    <t>Множитель ×100</t>
  </si>
  <si>
    <t>%IX263.7</t>
  </si>
  <si>
    <t>GVL_PHYSICAL_IO.xDiMpgMultiplier100Input</t>
  </si>
  <si>
    <t>Замок втянут</t>
  </si>
  <si>
    <t>%IX264.0</t>
  </si>
  <si>
    <t>1 — геркон сработал; 1→0 без задержки</t>
  </si>
  <si>
    <t>GVL_PHYSICAL_IO.xDiMagazine1LockIn</t>
  </si>
  <si>
    <t>Замок выдвинут</t>
  </si>
  <si>
    <t>%IX264.1</t>
  </si>
  <si>
    <t>GVL_PHYSICAL_IO.xDiMagazine1LockOut</t>
  </si>
  <si>
    <t>Фиксатор выдвинут</t>
  </si>
  <si>
    <t>%IX264.2</t>
  </si>
  <si>
    <t>GVL_PHYSICAL_IO.xDiMagazine1StopIn</t>
  </si>
  <si>
    <t>Фиксатор втянут</t>
  </si>
  <si>
    <t>%IX264.3</t>
  </si>
  <si>
    <t>GVL_PHYSICAL_IO.xDiMagazine1StopOut</t>
  </si>
  <si>
    <t>Подъёмник вверху</t>
  </si>
  <si>
    <t>%IX264.4</t>
  </si>
  <si>
    <t>GVL_PHYSICAL_IO.xDiMagazine1LiftUp</t>
  </si>
  <si>
    <t>Подъёмник внизу</t>
  </si>
  <si>
    <t>%IX264.5</t>
  </si>
  <si>
    <t>GVL_PHYSICAL_IO.xDiMagazine1LiftDown</t>
  </si>
  <si>
    <t>ГК привод — Авария</t>
  </si>
  <si>
    <t>%IX265.2</t>
  </si>
  <si>
    <t>Физический вход частотника конвейера ГК магазина 1; технологический FB ГК пока не подключён. Сырая переменная.</t>
  </si>
  <si>
    <t>GVL_PHYSICAL_IO.xDiGk1DriveAlarm</t>
  </si>
  <si>
    <t>ГК привод — Работа</t>
  </si>
  <si>
    <t>%IX265.3</t>
  </si>
  <si>
    <t>GVL_PHYSICAL_IO.xDiGk1DriveRunning</t>
  </si>
  <si>
    <t>Датчик фиксации детали на конце конвейера</t>
  </si>
  <si>
    <t>%IX265.4</t>
  </si>
  <si>
    <t>1 — деталь зафиксирована в конечном положении конвейера. Передний фронт фильтруется настройкой ячейки; потеря подтверждения проходит сразу. Технологический FB ГК пока не подключён.</t>
  </si>
  <si>
    <t>GVL_PHYSICAL_IO.xDiGk1PartAtEnd</t>
  </si>
  <si>
    <t>%IX265.5</t>
  </si>
  <si>
    <t>Физический вход частотника конвейера ГК магазина 2; сырая переменная, к технологическому FB не подключён.</t>
  </si>
  <si>
    <t>GVL_PHYSICAL_IO.xDiGk2DriveAlarm</t>
  </si>
  <si>
    <t>%IX265.6</t>
  </si>
  <si>
    <t>GVL_PHYSICAL_IO.xDiGk2DriveRunning</t>
  </si>
  <si>
    <t>%IX265.7</t>
  </si>
  <si>
    <t>GVL_PHYSICAL_IO.xDiGk2PartAtEnd</t>
  </si>
  <si>
    <t>Кнопка запроса открытия двери 1</t>
  </si>
  <si>
    <t>%IX264.6</t>
  </si>
  <si>
    <t>1 — нажата</t>
  </si>
  <si>
    <t>GVL_PHYSICAL_IO.xDiDoor1UnlockButton</t>
  </si>
  <si>
    <t>Кнопка запроса открытия двери 2</t>
  </si>
  <si>
    <t>%IX264.7</t>
  </si>
  <si>
    <t>GVL_PHYSICAL_IO.xDiDoor2UnlockButton</t>
  </si>
  <si>
    <t>Кнопка запроса открытия двери 3</t>
  </si>
  <si>
    <t>%IX265.0</t>
  </si>
  <si>
    <t>GVL_PHYSICAL_IO.xDiDoor3UnlockButton</t>
  </si>
  <si>
    <t>Кнопка запроса открытия двери 4</t>
  </si>
  <si>
    <t>%IX265.1</t>
  </si>
  <si>
    <t>GVL_PHYSICAL_IO.xDiDoor4UnlockButton</t>
  </si>
  <si>
    <t>%IX266.0</t>
  </si>
  <si>
    <t>GVL_PHYSICAL_IO.xDiMagazine2LockIn</t>
  </si>
  <si>
    <t>%IX266.1</t>
  </si>
  <si>
    <t>GVL_PHYSICAL_IO.xDiMagazine2LockOut</t>
  </si>
  <si>
    <t>%IX266.2</t>
  </si>
  <si>
    <t>GVL_PHYSICAL_IO.xDiMagazine2StopIn</t>
  </si>
  <si>
    <t>%IX266.3</t>
  </si>
  <si>
    <t>GVL_PHYSICAL_IO.xDiMagazine2StopOut</t>
  </si>
  <si>
    <t>%IX266.4</t>
  </si>
  <si>
    <t>GVL_PHYSICAL_IO.xDiMagazine2LiftUp</t>
  </si>
  <si>
    <t>%IX266.5</t>
  </si>
  <si>
    <t>GVL_PHYSICAL_IO.xDiMagazine2LiftDown</t>
  </si>
  <si>
    <t>GL200-DI16 #1: CH0</t>
  </si>
  <si>
    <t>GL200-DI16 #1: CH1</t>
  </si>
  <si>
    <t>GL200-DI16 #1: CH2</t>
  </si>
  <si>
    <t>GL200-DI16 #1: CH3</t>
  </si>
  <si>
    <t>GL200-DI16 #1: CH4</t>
  </si>
  <si>
    <t>GL200-DI16 #1: CH5</t>
  </si>
  <si>
    <t>GL200-DI16 #1: CH6</t>
  </si>
  <si>
    <t>GL200-DI16 #1: CH7</t>
  </si>
  <si>
    <t>GL200-DI16 #1: CH8</t>
  </si>
  <si>
    <t>GL200-DI16 #1: CH9</t>
  </si>
  <si>
    <t>GL200-DI16 #1: CH10</t>
  </si>
  <si>
    <t>GL200-DI16 #1: CH11</t>
  </si>
  <si>
    <t>GL200-DI16 #1: CH12</t>
  </si>
  <si>
    <t>GL200-DI16 #1: CH13</t>
  </si>
  <si>
    <t>GL200-DI16 #1: CH14</t>
  </si>
  <si>
    <t>GL200-DI16 #1: CH15</t>
  </si>
  <si>
    <t>GL200-DI16 #2: CH0</t>
  </si>
  <si>
    <t>GL200-DI16 #2: CH1</t>
  </si>
  <si>
    <t>GL200-DI16 #2: CH2</t>
  </si>
  <si>
    <t>GL200-DI16 #2: CH3</t>
  </si>
  <si>
    <t>GL200-DI16 #2: CH4</t>
  </si>
  <si>
    <t>GL200-DI16 #2: CH5</t>
  </si>
  <si>
    <t>GL200-DI16 #2: CH6</t>
  </si>
  <si>
    <t>GL200-DI16 #2: CH7</t>
  </si>
  <si>
    <t>GL200-DI16 #2: CH8</t>
  </si>
  <si>
    <t>GL200-DI16 #2: CH9</t>
  </si>
  <si>
    <t>GL200-DI16 #2: CH10</t>
  </si>
  <si>
    <t>GL200-DI16 #2: CH11</t>
  </si>
  <si>
    <t>GL200-DI16 #2: CH12</t>
  </si>
  <si>
    <t>GL200-DI16 #2: CH13</t>
  </si>
  <si>
    <t>GL200-DI16 #2: CH14</t>
  </si>
  <si>
    <t>GL200-DI16 #2: CH15</t>
  </si>
  <si>
    <t>GL200-DI16 #3: CH0</t>
  </si>
  <si>
    <t>GL200-DI16 #3: CH1</t>
  </si>
  <si>
    <t>GL200-DI16 #3: CH2</t>
  </si>
  <si>
    <t>GL200-DI16 #3: CH3</t>
  </si>
  <si>
    <t>GL200-DI16 #3: CH4</t>
  </si>
  <si>
    <t>GL200-DI16 #3: CH5</t>
  </si>
  <si>
    <t>GL200-DI16 #3: CH6</t>
  </si>
  <si>
    <t>GL200-DI16 #3: CH7</t>
  </si>
  <si>
    <t>GL200-DI16 #3: CH8</t>
  </si>
  <si>
    <t>GL200-DI16 #3: CH9</t>
  </si>
  <si>
    <t>GL200-DI16 #3: CH10</t>
  </si>
  <si>
    <t>GL200-DI16 #3: CH11</t>
  </si>
  <si>
    <t>GL200-DI16 #3: CH12</t>
  </si>
  <si>
    <t>GL200-DI16 #3: CH13</t>
  </si>
  <si>
    <t>GL200-DI16 #3: CH14</t>
  </si>
  <si>
    <t>GL200-DI16 #3: CH15</t>
  </si>
  <si>
    <t>GL200-DI16 #4: CH0</t>
  </si>
  <si>
    <t>GL200-DI16 #4: CH1</t>
  </si>
  <si>
    <t>GL200-DI16 #4: CH2</t>
  </si>
  <si>
    <t>GL200-DI16 #4: CH3</t>
  </si>
  <si>
    <t>GL200-DI16 #4: CH4</t>
  </si>
  <si>
    <t>GL200-DI16 #4: CH5</t>
  </si>
  <si>
    <t>GL200-DI16 #4: CH6</t>
  </si>
  <si>
    <t>GL200-DI16 #4: CH7</t>
  </si>
  <si>
    <t>GL200-DI16 #4: CH8</t>
  </si>
  <si>
    <t>GL200-DI16 #4: CH9</t>
  </si>
  <si>
    <t>GL200-DI16 #4: CH10</t>
  </si>
  <si>
    <t>GL200-DI16 #4: CH11</t>
  </si>
  <si>
    <t>GL200-DI16 #4: CH12</t>
  </si>
  <si>
    <t>GL200-DI16 #4: CH13</t>
  </si>
  <si>
    <t>GL200-DI16 #4: CH14</t>
  </si>
  <si>
    <t>GL200-DI16 #4: CH15</t>
  </si>
  <si>
    <t>GL200-DI16</t>
  </si>
  <si>
    <t>GL200-DI16 #5: CH1</t>
  </si>
  <si>
    <t>GL200-DI16 #5: CH2</t>
  </si>
  <si>
    <t>GL200-DI16 #5: CH3</t>
  </si>
  <si>
    <t>GL200-DI16 #5: CH4</t>
  </si>
  <si>
    <t>GL200-DI16 #5: CH5</t>
  </si>
  <si>
    <t>GL200-DQ16D #1: CH10</t>
  </si>
  <si>
    <t>1 — запуск обработки; штатно — команда FB станка; прямой ручной I/O удерживает выбранный уровень</t>
  </si>
  <si>
    <t>0 — закрыть; 1 — открыть. Штатное управление физическим DO — SoftMotion NORMAL; прямой ручной I/O задаёт уровень независимо от режима привода</t>
  </si>
  <si>
    <t>0 — к заготовке; 1 — к детали. Штатное управление физическим DO — SoftMotion NORMAL; прямой ручной I/O задаёт уровень независимо от режима привода</t>
  </si>
  <si>
    <t>Штатно — импульс сброса реле безопасности, без сброса физической аварии станка; прямой ручной I/O удерживает выбранный уровень</t>
  </si>
  <si>
    <t>Штатно — звук при новой аварии: 0–60 с, по умолчанию 2 с; 0 отключает автоматический звук. Прямой ручной I/O удерживает выбранный уровень</t>
  </si>
  <si>
    <t>1 — катушка включена; штатная логика исключает встречные катушки; в прямом ручном I/O этого ограничения нет</t>
  </si>
  <si>
    <t>%QX260.4</t>
  </si>
  <si>
    <t>%QX260.5</t>
  </si>
  <si>
    <t>1 — пуск, 0 — стоп. FB ГК пока отсутствует: штатный уровень FALSE; в прямом ручном I/O уровень задаётся вручную</t>
  </si>
  <si>
    <t>%QX260.6</t>
  </si>
  <si>
    <t>1 — команда сброса аварии частотника. FB ГК пока отсутствует: штатный уровень FALSE; в прямом ручном I/O уровень задаётся вручную</t>
  </si>
  <si>
    <t>Замок роботного люка заперт</t>
  </si>
  <si>
    <t>1 — замок люка заперт; 0 — запирание не подтверждено; 1→0 без задержки</t>
  </si>
  <si>
    <t>1 — кнопка пуска нажата</t>
  </si>
  <si>
    <t>1 — кнопка останова нажата; 0→1 без задержки</t>
  </si>
  <si>
    <t>1 — кнопка нажата; локальный сброс программных ошибок ячейки, без сброса физической аварии станка</t>
  </si>
  <si>
    <t>Физический xDi: 1 — грибок отжат, 0 — нажат/обрыв; программный xEmergency: TRUE — нажат; потеря физической 1 проходит без задержки</t>
  </si>
  <si>
    <t>Замок двери 1 закрыт</t>
  </si>
  <si>
    <t>1 — замок закрыт; 0 — закрытие не подтверждено; 1→0 без задержки</t>
  </si>
  <si>
    <t>Замок двери 2 закрыт</t>
  </si>
  <si>
    <t>Замок двери 3 закрыт</t>
  </si>
  <si>
    <t>Замок двери 4 закрыт</t>
  </si>
  <si>
    <t>1 — выбрана ось X</t>
  </si>
  <si>
    <t>1 — выбрана ось Y</t>
  </si>
  <si>
    <t>1 — выбрана ось Z</t>
  </si>
  <si>
    <t>1 — выбран множитель ×1</t>
  </si>
  <si>
    <t>1 — выбран множитель ×10</t>
  </si>
  <si>
    <t>1 — выбран множитель ×100</t>
  </si>
  <si>
    <t>GL200-DI16 #5: CH0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</si>
</sst>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111827"/>
      <name val="Carlito"/>
    </font>
    <font>
      <i/>
      <sz val="11"/>
      <color rgb="FF42546C"/>
      <name val="Carlito"/>
    </font>
    <font>
      <sz val="11"/>
      <color rgb="FF222222"/>
      <name val="Carlito"/>
    </font>
    <font>
      <b/>
      <sz val="11"/>
      <color rgb="FF222222"/>
      <name val="Carlito"/>
    </font>
    <font>
      <sz val="11"/>
      <color rgb="FF785018"/>
      <name val="Carlito"/>
    </font>
    <font>
      <b/>
      <sz val="11"/>
      <color rgb="FF375623"/>
      <name val="Carlito"/>
    </font>
    <font>
      <sz val="11"/>
      <color rgb="FF42546C"/>
      <name val="Arial"/>
    </font>
    <font>
      <b/>
      <sz val="15"/>
      <color rgb="FFFFFFFF"/>
      <name val="Carlito"/>
    </font>
    <font>
      <b/>
      <sz val="11"/>
      <color rgb="FF785018"/>
      <name val="Carlito"/>
    </font>
    <font>
      <sz val="11"/>
      <color theme="1"/>
      <name val="Carlito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5733B"/>
      </patternFill>
    </fill>
    <fill>
      <patternFill patternType="solid">
        <fgColor rgb="FF2457D6"/>
      </patternFill>
    </fill>
    <fill>
      <patternFill patternType="solid">
        <fgColor rgb="FFF3F4F6"/>
      </patternFill>
    </fill>
    <fill>
      <patternFill patternType="solid">
        <fgColor rgb="FFEAF7EF"/>
      </patternFill>
    </fill>
    <fill>
      <patternFill patternType="solid">
        <fgColor rgb="FFEDF3FF"/>
      </patternFill>
    </fill>
    <fill>
      <patternFill patternType="solid">
        <fgColor rgb="FFFFF4CC"/>
      </patternFill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2F75B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0" fontId="8" fillId="9" borderId="0" xfId="0" applyNumberFormat="1" applyFont="1" applyFill="1" applyBorder="1" applyAlignment="1">
      <alignment vertical="center" wrapText="1"/>
    </xf>
    <xf numFmtId="0" fontId="8" fillId="9" borderId="0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vertical="center" wrapText="1"/>
    </xf>
    <xf numFmtId="0" fontId="7" fillId="0" borderId="3" xfId="0" applyNumberFormat="1" applyFont="1" applyFill="1" applyBorder="1" applyAlignment="1">
      <alignment vertical="center" wrapText="1"/>
    </xf>
    <xf numFmtId="0" fontId="7" fillId="0" borderId="4" xfId="0" applyNumberFormat="1" applyFont="1" applyFill="1" applyBorder="1" applyAlignment="1">
      <alignment vertical="center" wrapText="1"/>
    </xf>
    <xf numFmtId="0" fontId="9" fillId="0" borderId="2" xfId="0" applyNumberFormat="1" applyFont="1" applyFill="1" applyBorder="1" applyAlignment="1">
      <alignment vertical="center" wrapText="1"/>
    </xf>
    <xf numFmtId="0" fontId="9" fillId="0" borderId="3" xfId="0" applyNumberFormat="1" applyFont="1" applyFill="1" applyBorder="1" applyAlignment="1">
      <alignment vertical="center" wrapText="1"/>
    </xf>
    <xf numFmtId="0" fontId="9" fillId="0" borderId="4" xfId="0" applyNumberFormat="1" applyFont="1" applyFill="1" applyBorder="1" applyAlignment="1">
      <alignment vertical="center" wrapText="1"/>
    </xf>
    <xf numFmtId="0" fontId="1" fillId="10" borderId="0" xfId="0" applyNumberFormat="1" applyFont="1" applyFill="1" applyBorder="1" applyAlignment="1">
      <alignment horizontal="center" vertical="center" wrapText="1"/>
    </xf>
    <xf numFmtId="0" fontId="1" fillId="11" borderId="0" xfId="0" applyNumberFormat="1" applyFont="1" applyFill="1" applyBorder="1" applyAlignment="1">
      <alignment horizontal="center" vertical="center" wrapText="1"/>
    </xf>
    <xf numFmtId="0" fontId="10" fillId="12" borderId="2" xfId="0" applyNumberFormat="1" applyFont="1" applyFill="1" applyBorder="1" applyAlignment="1">
      <alignment vertical="center" wrapText="1"/>
    </xf>
    <xf numFmtId="0" fontId="10" fillId="12" borderId="3" xfId="0" applyNumberFormat="1" applyFont="1" applyFill="1" applyBorder="1" applyAlignment="1">
      <alignment vertical="center" wrapText="1"/>
    </xf>
    <xf numFmtId="0" fontId="10" fillId="12" borderId="4" xfId="0" applyNumberFormat="1" applyFont="1" applyFill="1" applyBorder="1" applyAlignment="1">
      <alignment vertical="center" wrapText="1"/>
    </xf>
    <xf numFmtId="0" fontId="13" fillId="13" borderId="3" xfId="0" applyNumberFormat="1" applyFont="1" applyFill="1" applyBorder="1" applyAlignment="1">
      <alignment vertical="center" wrapText="1"/>
    </xf>
    <xf numFmtId="0" fontId="14" fillId="14" borderId="3" xfId="0" applyNumberFormat="1" applyFont="1" applyFill="1" applyBorder="1" applyAlignment="1">
      <alignment vertical="center" wrapText="1"/>
    </xf>
    <xf numFmtId="0" fontId="12" fillId="10" borderId="0" xfId="0" applyNumberFormat="1" applyFont="1" applyFill="1" applyBorder="1"/>
    <xf numFmtId="0" fontId="6" fillId="0" borderId="0" xfId="0" applyNumberFormat="1" applyFont="1" applyFill="1" applyBorder="1" applyAlignment="1">
      <alignment wrapText="1"/>
    </xf>
    <xf numFmtId="0" fontId="12" fillId="11" borderId="0" xfId="0" applyNumberFormat="1" applyFont="1" applyFill="1" applyBorder="1"/>
    <xf numFmtId="0" fontId="11" fillId="0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horizontal="left" vertical="center"/>
    </xf>
  </cellXfs>
  <cellStyles count="2">
    <cellStyle name="Normal" xfId="1"/>
    <cellStyle name="Обычный" xfId="0" builtinId="0"/>
  </cellStyles>
  <dxfs count="5">
    <dxf>
      <font>
        <b/>
        <color rgb="FF9C2700"/>
      </font>
      <fill>
        <patternFill>
          <bgColor rgb="FFFCE4D6"/>
        </patternFill>
      </fill>
    </dxf>
    <dxf>
      <font>
        <b/>
        <color rgb="FFB91C1C"/>
      </font>
      <fill>
        <patternFill>
          <bgColor rgb="FFFEE2E2"/>
        </patternFill>
      </fill>
    </dxf>
    <dxf>
      <font>
        <b/>
        <color rgb="FF9C2700"/>
      </font>
      <fill>
        <patternFill>
          <bgColor rgb="FFFCE4D6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B91C1C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O_Table" displayName="DO_Table" ref="A3:G50" totalsRowShown="0">
  <autoFilter ref="A3:G50"/>
  <tableColumns count="7">
    <tableColumn id="1" name="Категория"/>
    <tableColumn id="2" name="Название"/>
    <tableColumn id="3" name="Адрес (план)"/>
    <tableColumn id="4" name="Назначение"/>
    <tableColumn id="5" name="Имя в ПЛК"/>
    <tableColumn id="6" name="Подключение"/>
    <tableColumn id="7" name="Статус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DI_Table" displayName="DI_Table" ref="I3:O89" totalsRowShown="0">
  <autoFilter ref="I3:O89"/>
  <tableColumns count="7">
    <tableColumn id="1" name="Категория"/>
    <tableColumn id="2" name="Название"/>
    <tableColumn id="3" name="Адрес (план)"/>
    <tableColumn id="4" name="Назначение"/>
    <tableColumn id="5" name="Имя в ПЛК"/>
    <tableColumn id="6" name="Подключение"/>
    <tableColumn id="7" name="Статус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showGridLines="0" tabSelected="1" topLeftCell="E1" zoomScale="70" zoomScaleNormal="70" workbookViewId="0">
      <pane ySplit="3" topLeftCell="A4" activePane="bottomLeft" state="frozen"/>
      <selection pane="bottomLeft" activeCell="I4" sqref="I4:O89"/>
    </sheetView>
  </sheetViews>
  <sheetFormatPr defaultRowHeight="15" x14ac:dyDescent="0.25"/>
  <cols>
    <col min="1" max="1" width="18" customWidth="1"/>
    <col min="2" max="2" width="35" customWidth="1"/>
    <col min="3" max="3" width="17" customWidth="1"/>
    <col min="4" max="4" width="48" customWidth="1"/>
    <col min="5" max="5" width="47" customWidth="1"/>
    <col min="6" max="6" width="34" customWidth="1"/>
    <col min="7" max="7" width="19" customWidth="1"/>
    <col min="8" max="8" width="3" customWidth="1"/>
    <col min="9" max="9" width="18" customWidth="1"/>
    <col min="10" max="10" width="35" customWidth="1"/>
    <col min="11" max="11" width="17" customWidth="1"/>
    <col min="12" max="12" width="48" customWidth="1"/>
    <col min="13" max="13" width="47" customWidth="1"/>
    <col min="14" max="14" width="34" customWidth="1"/>
    <col min="15" max="15" width="19" customWidth="1"/>
  </cols>
  <sheetData>
    <row r="1" spans="1:15" ht="30" customHeight="1" x14ac:dyDescent="0.3">
      <c r="A1" s="25" t="s">
        <v>15</v>
      </c>
      <c r="B1" s="25"/>
      <c r="C1" s="25"/>
      <c r="D1" s="25"/>
      <c r="E1" s="25"/>
      <c r="F1" s="25"/>
      <c r="G1" s="25"/>
      <c r="I1" s="27" t="s">
        <v>16</v>
      </c>
      <c r="J1" s="27"/>
      <c r="K1" s="27"/>
      <c r="L1" s="27"/>
      <c r="M1" s="27"/>
      <c r="N1" s="27"/>
      <c r="O1" s="27"/>
    </row>
    <row r="2" spans="1:15" ht="36" customHeight="1" x14ac:dyDescent="0.25">
      <c r="A2" s="26"/>
      <c r="B2" s="26"/>
      <c r="C2" s="26"/>
      <c r="D2" s="26"/>
      <c r="E2" s="26"/>
      <c r="F2" s="26"/>
      <c r="G2" s="26"/>
      <c r="I2" s="26"/>
      <c r="J2" s="26"/>
      <c r="K2" s="26"/>
      <c r="L2" s="26"/>
      <c r="M2" s="26"/>
      <c r="N2" s="26"/>
      <c r="O2" s="26"/>
    </row>
    <row r="3" spans="1:15" ht="32.1" customHeight="1" x14ac:dyDescent="0.25">
      <c r="A3" s="18" t="s">
        <v>17</v>
      </c>
      <c r="B3" s="18" t="s">
        <v>18</v>
      </c>
      <c r="C3" s="18" t="s">
        <v>19</v>
      </c>
      <c r="D3" s="18" t="s">
        <v>20</v>
      </c>
      <c r="E3" s="18" t="s">
        <v>21</v>
      </c>
      <c r="F3" s="18" t="s">
        <v>22</v>
      </c>
      <c r="G3" s="18" t="s">
        <v>23</v>
      </c>
      <c r="I3" s="19" t="s">
        <v>17</v>
      </c>
      <c r="J3" s="19" t="s">
        <v>18</v>
      </c>
      <c r="K3" s="19" t="s">
        <v>19</v>
      </c>
      <c r="L3" s="19" t="s">
        <v>20</v>
      </c>
      <c r="M3" s="19" t="s">
        <v>21</v>
      </c>
      <c r="N3" s="19" t="s">
        <v>22</v>
      </c>
      <c r="O3" s="19" t="s">
        <v>23</v>
      </c>
    </row>
    <row r="4" spans="1:15" ht="45.95" customHeight="1" x14ac:dyDescent="0.25">
      <c r="A4" s="12" t="s">
        <v>24</v>
      </c>
      <c r="B4" s="12" t="s">
        <v>25</v>
      </c>
      <c r="C4" s="15" t="s">
        <v>26</v>
      </c>
      <c r="D4" s="12" t="s">
        <v>27</v>
      </c>
      <c r="E4" s="12" t="s">
        <v>28</v>
      </c>
      <c r="F4" s="12" t="s">
        <v>29</v>
      </c>
      <c r="G4" s="20" t="s">
        <v>30</v>
      </c>
      <c r="I4" s="12" t="s">
        <v>24</v>
      </c>
      <c r="J4" s="12" t="s">
        <v>31</v>
      </c>
      <c r="K4" s="15" t="s">
        <v>32</v>
      </c>
      <c r="L4" s="12" t="s">
        <v>33</v>
      </c>
      <c r="M4" s="12" t="s">
        <v>34</v>
      </c>
      <c r="N4" s="12" t="s">
        <v>35</v>
      </c>
      <c r="O4" s="20" t="s">
        <v>30</v>
      </c>
    </row>
    <row r="5" spans="1:15" ht="45.95" customHeight="1" x14ac:dyDescent="0.25">
      <c r="A5" s="13" t="s">
        <v>24</v>
      </c>
      <c r="B5" s="13" t="s">
        <v>36</v>
      </c>
      <c r="C5" s="16" t="s">
        <v>37</v>
      </c>
      <c r="D5" s="13" t="s">
        <v>38</v>
      </c>
      <c r="E5" s="13" t="s">
        <v>39</v>
      </c>
      <c r="F5" s="13" t="s">
        <v>40</v>
      </c>
      <c r="G5" s="21" t="s">
        <v>30</v>
      </c>
      <c r="I5" s="13" t="s">
        <v>24</v>
      </c>
      <c r="J5" s="13" t="s">
        <v>41</v>
      </c>
      <c r="K5" s="16" t="s">
        <v>42</v>
      </c>
      <c r="L5" s="13" t="s">
        <v>43</v>
      </c>
      <c r="M5" s="13" t="s">
        <v>44</v>
      </c>
      <c r="N5" s="13" t="s">
        <v>45</v>
      </c>
      <c r="O5" s="21" t="s">
        <v>30</v>
      </c>
    </row>
    <row r="6" spans="1:15" ht="42" customHeight="1" x14ac:dyDescent="0.25">
      <c r="A6" s="13" t="s">
        <v>24</v>
      </c>
      <c r="B6" s="13" t="s">
        <v>46</v>
      </c>
      <c r="C6" s="16" t="s">
        <v>47</v>
      </c>
      <c r="D6" s="13" t="s">
        <v>38</v>
      </c>
      <c r="E6" s="13" t="s">
        <v>48</v>
      </c>
      <c r="F6" s="13" t="s">
        <v>49</v>
      </c>
      <c r="G6" s="21" t="s">
        <v>30</v>
      </c>
      <c r="I6" s="13" t="s">
        <v>24</v>
      </c>
      <c r="J6" s="13" t="s">
        <v>50</v>
      </c>
      <c r="K6" s="16" t="s">
        <v>51</v>
      </c>
      <c r="L6" s="13" t="s">
        <v>33</v>
      </c>
      <c r="M6" s="13" t="s">
        <v>52</v>
      </c>
      <c r="N6" s="13" t="s">
        <v>53</v>
      </c>
      <c r="O6" s="21" t="s">
        <v>30</v>
      </c>
    </row>
    <row r="7" spans="1:15" ht="42" customHeight="1" x14ac:dyDescent="0.25">
      <c r="A7" s="13" t="s">
        <v>24</v>
      </c>
      <c r="B7" s="13" t="s">
        <v>54</v>
      </c>
      <c r="C7" s="16" t="s">
        <v>55</v>
      </c>
      <c r="D7" s="13" t="s">
        <v>38</v>
      </c>
      <c r="E7" s="13" t="s">
        <v>56</v>
      </c>
      <c r="F7" s="13" t="s">
        <v>57</v>
      </c>
      <c r="G7" s="21" t="s">
        <v>30</v>
      </c>
      <c r="I7" s="13" t="s">
        <v>24</v>
      </c>
      <c r="J7" s="13" t="s">
        <v>58</v>
      </c>
      <c r="K7" s="16" t="s">
        <v>59</v>
      </c>
      <c r="L7" s="13" t="s">
        <v>33</v>
      </c>
      <c r="M7" s="13" t="s">
        <v>60</v>
      </c>
      <c r="N7" s="13" t="s">
        <v>61</v>
      </c>
      <c r="O7" s="21" t="s">
        <v>30</v>
      </c>
    </row>
    <row r="8" spans="1:15" ht="42" customHeight="1" x14ac:dyDescent="0.25">
      <c r="A8" s="13" t="s">
        <v>24</v>
      </c>
      <c r="B8" s="13" t="s">
        <v>62</v>
      </c>
      <c r="C8" s="16" t="s">
        <v>63</v>
      </c>
      <c r="D8" s="13" t="s">
        <v>547</v>
      </c>
      <c r="E8" s="13" t="s">
        <v>64</v>
      </c>
      <c r="F8" s="13" t="s">
        <v>65</v>
      </c>
      <c r="G8" s="21" t="s">
        <v>30</v>
      </c>
      <c r="I8" s="13" t="s">
        <v>24</v>
      </c>
      <c r="J8" s="13" t="s">
        <v>558</v>
      </c>
      <c r="K8" s="16" t="s">
        <v>66</v>
      </c>
      <c r="L8" s="13" t="s">
        <v>559</v>
      </c>
      <c r="M8" s="13" t="s">
        <v>67</v>
      </c>
      <c r="N8" s="13" t="s">
        <v>68</v>
      </c>
      <c r="O8" s="21" t="s">
        <v>30</v>
      </c>
    </row>
    <row r="9" spans="1:15" ht="60.95" customHeight="1" x14ac:dyDescent="0.25">
      <c r="A9" s="13" t="s">
        <v>74</v>
      </c>
      <c r="B9" s="13" t="s">
        <v>25</v>
      </c>
      <c r="C9" s="16" t="s">
        <v>75</v>
      </c>
      <c r="D9" s="13" t="s">
        <v>27</v>
      </c>
      <c r="E9" s="13" t="s">
        <v>76</v>
      </c>
      <c r="F9" s="13" t="s">
        <v>77</v>
      </c>
      <c r="G9" s="21" t="s">
        <v>30</v>
      </c>
      <c r="I9" s="13" t="s">
        <v>24</v>
      </c>
      <c r="J9" s="13" t="s">
        <v>70</v>
      </c>
      <c r="K9" s="16" t="s">
        <v>71</v>
      </c>
      <c r="L9" s="13" t="s">
        <v>33</v>
      </c>
      <c r="M9" s="13" t="s">
        <v>72</v>
      </c>
      <c r="N9" s="13" t="s">
        <v>73</v>
      </c>
      <c r="O9" s="21" t="s">
        <v>30</v>
      </c>
    </row>
    <row r="10" spans="1:15" ht="45.95" customHeight="1" x14ac:dyDescent="0.25">
      <c r="A10" s="13" t="s">
        <v>74</v>
      </c>
      <c r="B10" s="13" t="s">
        <v>36</v>
      </c>
      <c r="C10" s="16" t="s">
        <v>82</v>
      </c>
      <c r="D10" s="13" t="s">
        <v>38</v>
      </c>
      <c r="E10" s="13" t="s">
        <v>83</v>
      </c>
      <c r="F10" s="13" t="s">
        <v>84</v>
      </c>
      <c r="G10" s="21" t="s">
        <v>30</v>
      </c>
      <c r="I10" s="13" t="s">
        <v>24</v>
      </c>
      <c r="J10" s="13" t="s">
        <v>78</v>
      </c>
      <c r="K10" s="16" t="s">
        <v>79</v>
      </c>
      <c r="L10" s="13" t="s">
        <v>33</v>
      </c>
      <c r="M10" s="13" t="s">
        <v>80</v>
      </c>
      <c r="N10" s="13" t="s">
        <v>81</v>
      </c>
      <c r="O10" s="21" t="s">
        <v>30</v>
      </c>
    </row>
    <row r="11" spans="1:15" ht="42" customHeight="1" x14ac:dyDescent="0.25">
      <c r="A11" s="13" t="s">
        <v>74</v>
      </c>
      <c r="B11" s="13" t="s">
        <v>46</v>
      </c>
      <c r="C11" s="16" t="s">
        <v>89</v>
      </c>
      <c r="D11" s="13" t="s">
        <v>38</v>
      </c>
      <c r="E11" s="13" t="s">
        <v>90</v>
      </c>
      <c r="F11" s="13" t="s">
        <v>91</v>
      </c>
      <c r="G11" s="21" t="s">
        <v>30</v>
      </c>
      <c r="I11" s="13" t="s">
        <v>24</v>
      </c>
      <c r="J11" s="13" t="s">
        <v>85</v>
      </c>
      <c r="K11" s="16" t="s">
        <v>86</v>
      </c>
      <c r="L11" s="13" t="s">
        <v>33</v>
      </c>
      <c r="M11" s="13" t="s">
        <v>87</v>
      </c>
      <c r="N11" s="13" t="s">
        <v>88</v>
      </c>
      <c r="O11" s="21" t="s">
        <v>30</v>
      </c>
    </row>
    <row r="12" spans="1:15" ht="42" customHeight="1" x14ac:dyDescent="0.25">
      <c r="A12" s="13" t="s">
        <v>74</v>
      </c>
      <c r="B12" s="13" t="s">
        <v>54</v>
      </c>
      <c r="C12" s="16" t="s">
        <v>96</v>
      </c>
      <c r="D12" s="13" t="s">
        <v>38</v>
      </c>
      <c r="E12" s="13" t="s">
        <v>97</v>
      </c>
      <c r="F12" s="13" t="s">
        <v>98</v>
      </c>
      <c r="G12" s="21" t="s">
        <v>30</v>
      </c>
      <c r="I12" s="13" t="s">
        <v>24</v>
      </c>
      <c r="J12" s="13" t="s">
        <v>92</v>
      </c>
      <c r="K12" s="16" t="s">
        <v>93</v>
      </c>
      <c r="L12" s="13" t="s">
        <v>33</v>
      </c>
      <c r="M12" s="13" t="s">
        <v>94</v>
      </c>
      <c r="N12" s="13" t="s">
        <v>95</v>
      </c>
      <c r="O12" s="21" t="s">
        <v>30</v>
      </c>
    </row>
    <row r="13" spans="1:15" ht="42" customHeight="1" x14ac:dyDescent="0.25">
      <c r="A13" s="13" t="s">
        <v>74</v>
      </c>
      <c r="B13" s="13" t="s">
        <v>62</v>
      </c>
      <c r="C13" s="16" t="s">
        <v>104</v>
      </c>
      <c r="D13" s="13" t="s">
        <v>547</v>
      </c>
      <c r="E13" s="13" t="s">
        <v>105</v>
      </c>
      <c r="F13" s="13" t="s">
        <v>106</v>
      </c>
      <c r="G13" s="21" t="s">
        <v>30</v>
      </c>
      <c r="I13" s="13" t="s">
        <v>24</v>
      </c>
      <c r="J13" s="13" t="s">
        <v>99</v>
      </c>
      <c r="K13" s="16" t="s">
        <v>100</v>
      </c>
      <c r="L13" s="13" t="s">
        <v>101</v>
      </c>
      <c r="M13" s="13" t="s">
        <v>102</v>
      </c>
      <c r="N13" s="13" t="s">
        <v>103</v>
      </c>
      <c r="O13" s="21" t="s">
        <v>30</v>
      </c>
    </row>
    <row r="14" spans="1:15" ht="42" customHeight="1" x14ac:dyDescent="0.25">
      <c r="A14" s="13" t="s">
        <v>115</v>
      </c>
      <c r="B14" s="13" t="s">
        <v>25</v>
      </c>
      <c r="C14" s="16" t="s">
        <v>116</v>
      </c>
      <c r="D14" s="13" t="s">
        <v>27</v>
      </c>
      <c r="E14" s="13" t="s">
        <v>117</v>
      </c>
      <c r="F14" s="13" t="s">
        <v>118</v>
      </c>
      <c r="G14" s="21" t="s">
        <v>30</v>
      </c>
      <c r="I14" s="13" t="s">
        <v>24</v>
      </c>
      <c r="J14" s="13" t="s">
        <v>107</v>
      </c>
      <c r="K14" s="16" t="s">
        <v>108</v>
      </c>
      <c r="L14" s="13" t="s">
        <v>101</v>
      </c>
      <c r="M14" s="13" t="s">
        <v>109</v>
      </c>
      <c r="N14" s="13" t="s">
        <v>110</v>
      </c>
      <c r="O14" s="21" t="s">
        <v>30</v>
      </c>
    </row>
    <row r="15" spans="1:15" ht="60.95" customHeight="1" x14ac:dyDescent="0.25">
      <c r="A15" s="13" t="s">
        <v>115</v>
      </c>
      <c r="B15" s="13" t="s">
        <v>36</v>
      </c>
      <c r="C15" s="16" t="s">
        <v>122</v>
      </c>
      <c r="D15" s="13" t="s">
        <v>38</v>
      </c>
      <c r="E15" s="13" t="s">
        <v>123</v>
      </c>
      <c r="F15" s="13" t="s">
        <v>124</v>
      </c>
      <c r="G15" s="21" t="s">
        <v>30</v>
      </c>
      <c r="I15" s="13" t="s">
        <v>74</v>
      </c>
      <c r="J15" s="13" t="s">
        <v>31</v>
      </c>
      <c r="K15" s="16" t="s">
        <v>112</v>
      </c>
      <c r="L15" s="13" t="s">
        <v>33</v>
      </c>
      <c r="M15" s="13" t="s">
        <v>113</v>
      </c>
      <c r="N15" s="13" t="s">
        <v>114</v>
      </c>
      <c r="O15" s="21" t="s">
        <v>30</v>
      </c>
    </row>
    <row r="16" spans="1:15" ht="45.95" customHeight="1" x14ac:dyDescent="0.25">
      <c r="A16" s="13" t="s">
        <v>115</v>
      </c>
      <c r="B16" s="13" t="s">
        <v>46</v>
      </c>
      <c r="C16" s="16" t="s">
        <v>128</v>
      </c>
      <c r="D16" s="13" t="s">
        <v>38</v>
      </c>
      <c r="E16" s="13" t="s">
        <v>129</v>
      </c>
      <c r="F16" s="13" t="s">
        <v>130</v>
      </c>
      <c r="G16" s="21" t="s">
        <v>30</v>
      </c>
      <c r="I16" s="13" t="s">
        <v>74</v>
      </c>
      <c r="J16" s="13" t="s">
        <v>41</v>
      </c>
      <c r="K16" s="16" t="s">
        <v>119</v>
      </c>
      <c r="L16" s="13" t="s">
        <v>43</v>
      </c>
      <c r="M16" s="13" t="s">
        <v>120</v>
      </c>
      <c r="N16" s="13" t="s">
        <v>121</v>
      </c>
      <c r="O16" s="21" t="s">
        <v>30</v>
      </c>
    </row>
    <row r="17" spans="1:15" ht="42" customHeight="1" x14ac:dyDescent="0.25">
      <c r="A17" s="13" t="s">
        <v>115</v>
      </c>
      <c r="B17" s="13" t="s">
        <v>54</v>
      </c>
      <c r="C17" s="16" t="s">
        <v>133</v>
      </c>
      <c r="D17" s="13" t="s">
        <v>38</v>
      </c>
      <c r="E17" s="13" t="s">
        <v>134</v>
      </c>
      <c r="F17" s="13" t="s">
        <v>135</v>
      </c>
      <c r="G17" s="21" t="s">
        <v>30</v>
      </c>
      <c r="I17" s="13" t="s">
        <v>74</v>
      </c>
      <c r="J17" s="13" t="s">
        <v>50</v>
      </c>
      <c r="K17" s="16" t="s">
        <v>125</v>
      </c>
      <c r="L17" s="13" t="s">
        <v>33</v>
      </c>
      <c r="M17" s="13" t="s">
        <v>126</v>
      </c>
      <c r="N17" s="13" t="s">
        <v>127</v>
      </c>
      <c r="O17" s="21" t="s">
        <v>30</v>
      </c>
    </row>
    <row r="18" spans="1:15" ht="42" customHeight="1" x14ac:dyDescent="0.25">
      <c r="A18" s="13" t="s">
        <v>115</v>
      </c>
      <c r="B18" s="13" t="s">
        <v>62</v>
      </c>
      <c r="C18" s="16" t="s">
        <v>138</v>
      </c>
      <c r="D18" s="13" t="s">
        <v>547</v>
      </c>
      <c r="E18" s="13" t="s">
        <v>139</v>
      </c>
      <c r="F18" s="13" t="s">
        <v>140</v>
      </c>
      <c r="G18" s="21" t="s">
        <v>30</v>
      </c>
      <c r="I18" s="13" t="s">
        <v>74</v>
      </c>
      <c r="J18" s="13" t="s">
        <v>58</v>
      </c>
      <c r="K18" s="16" t="s">
        <v>131</v>
      </c>
      <c r="L18" s="13" t="s">
        <v>33</v>
      </c>
      <c r="M18" s="13" t="s">
        <v>132</v>
      </c>
      <c r="N18" s="13" t="s">
        <v>476</v>
      </c>
      <c r="O18" s="21" t="s">
        <v>30</v>
      </c>
    </row>
    <row r="19" spans="1:15" ht="42" customHeight="1" x14ac:dyDescent="0.25">
      <c r="A19" s="13" t="s">
        <v>146</v>
      </c>
      <c r="B19" s="13" t="s">
        <v>147</v>
      </c>
      <c r="C19" s="16" t="s">
        <v>148</v>
      </c>
      <c r="D19" s="13" t="s">
        <v>548</v>
      </c>
      <c r="E19" s="13" t="s">
        <v>149</v>
      </c>
      <c r="F19" s="13" t="s">
        <v>150</v>
      </c>
      <c r="G19" s="21" t="s">
        <v>30</v>
      </c>
      <c r="I19" s="13" t="s">
        <v>74</v>
      </c>
      <c r="J19" s="13" t="s">
        <v>558</v>
      </c>
      <c r="K19" s="16" t="s">
        <v>136</v>
      </c>
      <c r="L19" s="13" t="s">
        <v>559</v>
      </c>
      <c r="M19" s="13" t="s">
        <v>137</v>
      </c>
      <c r="N19" s="13" t="s">
        <v>477</v>
      </c>
      <c r="O19" s="21" t="s">
        <v>30</v>
      </c>
    </row>
    <row r="20" spans="1:15" ht="42" customHeight="1" x14ac:dyDescent="0.25">
      <c r="A20" s="13" t="s">
        <v>146</v>
      </c>
      <c r="B20" s="13" t="s">
        <v>153</v>
      </c>
      <c r="C20" s="16" t="s">
        <v>154</v>
      </c>
      <c r="D20" s="13" t="s">
        <v>548</v>
      </c>
      <c r="E20" s="13" t="s">
        <v>155</v>
      </c>
      <c r="F20" s="13" t="s">
        <v>156</v>
      </c>
      <c r="G20" s="21" t="s">
        <v>30</v>
      </c>
      <c r="I20" s="13" t="s">
        <v>74</v>
      </c>
      <c r="J20" s="13" t="s">
        <v>70</v>
      </c>
      <c r="K20" s="16" t="s">
        <v>141</v>
      </c>
      <c r="L20" s="13" t="s">
        <v>33</v>
      </c>
      <c r="M20" s="13" t="s">
        <v>142</v>
      </c>
      <c r="N20" s="13" t="s">
        <v>478</v>
      </c>
      <c r="O20" s="21" t="s">
        <v>30</v>
      </c>
    </row>
    <row r="21" spans="1:15" ht="60.95" customHeight="1" x14ac:dyDescent="0.25">
      <c r="A21" s="13" t="s">
        <v>146</v>
      </c>
      <c r="B21" s="13" t="s">
        <v>159</v>
      </c>
      <c r="C21" s="16" t="s">
        <v>160</v>
      </c>
      <c r="D21" s="13" t="s">
        <v>549</v>
      </c>
      <c r="E21" s="13" t="s">
        <v>161</v>
      </c>
      <c r="F21" s="13" t="s">
        <v>162</v>
      </c>
      <c r="G21" s="21" t="s">
        <v>30</v>
      </c>
      <c r="I21" s="13" t="s">
        <v>74</v>
      </c>
      <c r="J21" s="13" t="s">
        <v>78</v>
      </c>
      <c r="K21" s="16" t="s">
        <v>144</v>
      </c>
      <c r="L21" s="13" t="s">
        <v>33</v>
      </c>
      <c r="M21" s="13" t="s">
        <v>145</v>
      </c>
      <c r="N21" s="13" t="s">
        <v>479</v>
      </c>
      <c r="O21" s="21" t="s">
        <v>30</v>
      </c>
    </row>
    <row r="22" spans="1:15" ht="45.95" customHeight="1" x14ac:dyDescent="0.25">
      <c r="A22" s="13" t="s">
        <v>165</v>
      </c>
      <c r="B22" s="13" t="s">
        <v>166</v>
      </c>
      <c r="C22" s="16" t="s">
        <v>167</v>
      </c>
      <c r="D22" s="13" t="s">
        <v>168</v>
      </c>
      <c r="E22" s="13" t="s">
        <v>169</v>
      </c>
      <c r="F22" s="13" t="s">
        <v>170</v>
      </c>
      <c r="G22" s="21" t="s">
        <v>30</v>
      </c>
      <c r="I22" s="13" t="s">
        <v>74</v>
      </c>
      <c r="J22" s="13" t="s">
        <v>85</v>
      </c>
      <c r="K22" s="16" t="s">
        <v>151</v>
      </c>
      <c r="L22" s="13" t="s">
        <v>33</v>
      </c>
      <c r="M22" s="13" t="s">
        <v>152</v>
      </c>
      <c r="N22" s="13" t="s">
        <v>480</v>
      </c>
      <c r="O22" s="21" t="s">
        <v>30</v>
      </c>
    </row>
    <row r="23" spans="1:15" ht="45.95" customHeight="1" x14ac:dyDescent="0.25">
      <c r="A23" s="13" t="s">
        <v>173</v>
      </c>
      <c r="B23" s="13" t="s">
        <v>174</v>
      </c>
      <c r="C23" s="16" t="s">
        <v>175</v>
      </c>
      <c r="D23" s="13" t="s">
        <v>168</v>
      </c>
      <c r="E23" s="13" t="s">
        <v>176</v>
      </c>
      <c r="F23" s="13" t="s">
        <v>177</v>
      </c>
      <c r="G23" s="21" t="s">
        <v>30</v>
      </c>
      <c r="I23" s="13" t="s">
        <v>74</v>
      </c>
      <c r="J23" s="13" t="s">
        <v>92</v>
      </c>
      <c r="K23" s="16" t="s">
        <v>157</v>
      </c>
      <c r="L23" s="13" t="s">
        <v>33</v>
      </c>
      <c r="M23" s="13" t="s">
        <v>158</v>
      </c>
      <c r="N23" s="13" t="s">
        <v>481</v>
      </c>
      <c r="O23" s="21" t="s">
        <v>30</v>
      </c>
    </row>
    <row r="24" spans="1:15" ht="45.95" customHeight="1" x14ac:dyDescent="0.25">
      <c r="A24" s="13" t="s">
        <v>180</v>
      </c>
      <c r="B24" s="13" t="s">
        <v>181</v>
      </c>
      <c r="C24" s="16" t="s">
        <v>182</v>
      </c>
      <c r="D24" s="13" t="s">
        <v>168</v>
      </c>
      <c r="E24" s="13" t="s">
        <v>183</v>
      </c>
      <c r="F24" s="13" t="s">
        <v>184</v>
      </c>
      <c r="G24" s="21" t="s">
        <v>30</v>
      </c>
      <c r="I24" s="13" t="s">
        <v>74</v>
      </c>
      <c r="J24" s="13" t="s">
        <v>99</v>
      </c>
      <c r="K24" s="16" t="s">
        <v>163</v>
      </c>
      <c r="L24" s="13" t="s">
        <v>101</v>
      </c>
      <c r="M24" s="13" t="s">
        <v>164</v>
      </c>
      <c r="N24" s="13" t="s">
        <v>482</v>
      </c>
      <c r="O24" s="21" t="s">
        <v>30</v>
      </c>
    </row>
    <row r="25" spans="1:15" ht="42" customHeight="1" x14ac:dyDescent="0.25">
      <c r="A25" s="13" t="s">
        <v>187</v>
      </c>
      <c r="B25" s="13" t="s">
        <v>188</v>
      </c>
      <c r="C25" s="16" t="s">
        <v>189</v>
      </c>
      <c r="D25" s="13" t="s">
        <v>168</v>
      </c>
      <c r="E25" s="13" t="s">
        <v>190</v>
      </c>
      <c r="F25" s="13" t="s">
        <v>191</v>
      </c>
      <c r="G25" s="21" t="s">
        <v>30</v>
      </c>
      <c r="I25" s="13" t="s">
        <v>74</v>
      </c>
      <c r="J25" s="13" t="s">
        <v>107</v>
      </c>
      <c r="K25" s="16" t="s">
        <v>171</v>
      </c>
      <c r="L25" s="13" t="s">
        <v>101</v>
      </c>
      <c r="M25" s="13" t="s">
        <v>172</v>
      </c>
      <c r="N25" s="13" t="s">
        <v>483</v>
      </c>
      <c r="O25" s="21" t="s">
        <v>30</v>
      </c>
    </row>
    <row r="26" spans="1:15" ht="42" customHeight="1" x14ac:dyDescent="0.25">
      <c r="A26" s="13" t="s">
        <v>194</v>
      </c>
      <c r="B26" s="13" t="s">
        <v>195</v>
      </c>
      <c r="C26" s="16" t="s">
        <v>196</v>
      </c>
      <c r="D26" s="13" t="s">
        <v>550</v>
      </c>
      <c r="E26" s="13" t="s">
        <v>197</v>
      </c>
      <c r="F26" s="13" t="s">
        <v>198</v>
      </c>
      <c r="G26" s="21" t="s">
        <v>30</v>
      </c>
      <c r="I26" s="13" t="s">
        <v>115</v>
      </c>
      <c r="J26" s="13" t="s">
        <v>31</v>
      </c>
      <c r="K26" s="16" t="s">
        <v>178</v>
      </c>
      <c r="L26" s="13" t="s">
        <v>33</v>
      </c>
      <c r="M26" s="13" t="s">
        <v>179</v>
      </c>
      <c r="N26" s="13" t="s">
        <v>484</v>
      </c>
      <c r="O26" s="21" t="s">
        <v>30</v>
      </c>
    </row>
    <row r="27" spans="1:15" ht="45.95" customHeight="1" x14ac:dyDescent="0.25">
      <c r="A27" s="13" t="s">
        <v>201</v>
      </c>
      <c r="B27" s="13" t="s">
        <v>202</v>
      </c>
      <c r="C27" s="16" t="s">
        <v>203</v>
      </c>
      <c r="D27" s="13" t="s">
        <v>204</v>
      </c>
      <c r="E27" s="13" t="s">
        <v>205</v>
      </c>
      <c r="F27" s="13" t="s">
        <v>206</v>
      </c>
      <c r="G27" s="21" t="s">
        <v>30</v>
      </c>
      <c r="I27" s="13" t="s">
        <v>115</v>
      </c>
      <c r="J27" s="13" t="s">
        <v>41</v>
      </c>
      <c r="K27" s="16" t="s">
        <v>185</v>
      </c>
      <c r="L27" s="13" t="s">
        <v>43</v>
      </c>
      <c r="M27" s="13" t="s">
        <v>186</v>
      </c>
      <c r="N27" s="13" t="s">
        <v>485</v>
      </c>
      <c r="O27" s="21" t="s">
        <v>30</v>
      </c>
    </row>
    <row r="28" spans="1:15" ht="42" customHeight="1" x14ac:dyDescent="0.25">
      <c r="A28" s="13" t="s">
        <v>201</v>
      </c>
      <c r="B28" s="13" t="s">
        <v>209</v>
      </c>
      <c r="C28" s="16" t="s">
        <v>210</v>
      </c>
      <c r="D28" s="13" t="s">
        <v>204</v>
      </c>
      <c r="E28" s="13" t="s">
        <v>211</v>
      </c>
      <c r="F28" s="13" t="s">
        <v>212</v>
      </c>
      <c r="G28" s="21" t="s">
        <v>30</v>
      </c>
      <c r="I28" s="13" t="s">
        <v>115</v>
      </c>
      <c r="J28" s="13" t="s">
        <v>50</v>
      </c>
      <c r="K28" s="16" t="s">
        <v>192</v>
      </c>
      <c r="L28" s="13" t="s">
        <v>33</v>
      </c>
      <c r="M28" s="13" t="s">
        <v>193</v>
      </c>
      <c r="N28" s="13" t="s">
        <v>486</v>
      </c>
      <c r="O28" s="21" t="s">
        <v>30</v>
      </c>
    </row>
    <row r="29" spans="1:15" ht="45.95" customHeight="1" x14ac:dyDescent="0.25">
      <c r="A29" s="13" t="s">
        <v>201</v>
      </c>
      <c r="B29" s="13" t="s">
        <v>215</v>
      </c>
      <c r="C29" s="16" t="s">
        <v>216</v>
      </c>
      <c r="D29" s="13" t="s">
        <v>204</v>
      </c>
      <c r="E29" s="13" t="s">
        <v>217</v>
      </c>
      <c r="F29" s="13" t="s">
        <v>218</v>
      </c>
      <c r="G29" s="21" t="s">
        <v>30</v>
      </c>
      <c r="I29" s="13" t="s">
        <v>115</v>
      </c>
      <c r="J29" s="13" t="s">
        <v>58</v>
      </c>
      <c r="K29" s="16" t="s">
        <v>199</v>
      </c>
      <c r="L29" s="13" t="s">
        <v>33</v>
      </c>
      <c r="M29" s="13" t="s">
        <v>200</v>
      </c>
      <c r="N29" s="13" t="s">
        <v>487</v>
      </c>
      <c r="O29" s="21" t="s">
        <v>30</v>
      </c>
    </row>
    <row r="30" spans="1:15" ht="45.95" customHeight="1" x14ac:dyDescent="0.25">
      <c r="A30" s="13" t="s">
        <v>221</v>
      </c>
      <c r="B30" s="13" t="s">
        <v>222</v>
      </c>
      <c r="C30" s="16" t="s">
        <v>229</v>
      </c>
      <c r="D30" s="13" t="s">
        <v>551</v>
      </c>
      <c r="E30" s="13" t="s">
        <v>224</v>
      </c>
      <c r="F30" s="13" t="s">
        <v>546</v>
      </c>
      <c r="G30" s="21" t="s">
        <v>30</v>
      </c>
      <c r="I30" s="13" t="s">
        <v>115</v>
      </c>
      <c r="J30" s="13" t="s">
        <v>558</v>
      </c>
      <c r="K30" s="16" t="s">
        <v>207</v>
      </c>
      <c r="L30" s="13" t="s">
        <v>559</v>
      </c>
      <c r="M30" s="13" t="s">
        <v>208</v>
      </c>
      <c r="N30" s="13" t="s">
        <v>488</v>
      </c>
      <c r="O30" s="21" t="s">
        <v>30</v>
      </c>
    </row>
    <row r="31" spans="1:15" ht="45.95" customHeight="1" x14ac:dyDescent="0.25">
      <c r="A31" s="13" t="s">
        <v>165</v>
      </c>
      <c r="B31" s="13" t="s">
        <v>228</v>
      </c>
      <c r="C31" s="16" t="s">
        <v>235</v>
      </c>
      <c r="D31" s="13" t="s">
        <v>230</v>
      </c>
      <c r="E31" s="13" t="s">
        <v>231</v>
      </c>
      <c r="F31" s="13" t="s">
        <v>237</v>
      </c>
      <c r="G31" s="21" t="s">
        <v>30</v>
      </c>
      <c r="I31" s="13" t="s">
        <v>115</v>
      </c>
      <c r="J31" s="13" t="s">
        <v>70</v>
      </c>
      <c r="K31" s="16" t="s">
        <v>213</v>
      </c>
      <c r="L31" s="13" t="s">
        <v>33</v>
      </c>
      <c r="M31" s="13" t="s">
        <v>214</v>
      </c>
      <c r="N31" s="13" t="s">
        <v>489</v>
      </c>
      <c r="O31" s="21" t="s">
        <v>30</v>
      </c>
    </row>
    <row r="32" spans="1:15" ht="45.95" customHeight="1" x14ac:dyDescent="0.25">
      <c r="A32" s="13" t="s">
        <v>173</v>
      </c>
      <c r="B32" s="13" t="s">
        <v>234</v>
      </c>
      <c r="C32" s="16" t="s">
        <v>241</v>
      </c>
      <c r="D32" s="13" t="s">
        <v>230</v>
      </c>
      <c r="E32" s="13" t="s">
        <v>236</v>
      </c>
      <c r="F32" s="13" t="s">
        <v>243</v>
      </c>
      <c r="G32" s="21" t="s">
        <v>30</v>
      </c>
      <c r="I32" s="13" t="s">
        <v>115</v>
      </c>
      <c r="J32" s="13" t="s">
        <v>78</v>
      </c>
      <c r="K32" s="16" t="s">
        <v>219</v>
      </c>
      <c r="L32" s="13" t="s">
        <v>33</v>
      </c>
      <c r="M32" s="13" t="s">
        <v>220</v>
      </c>
      <c r="N32" s="13" t="s">
        <v>490</v>
      </c>
      <c r="O32" s="21" t="s">
        <v>30</v>
      </c>
    </row>
    <row r="33" spans="1:15" ht="60.95" customHeight="1" x14ac:dyDescent="0.25">
      <c r="A33" s="13" t="s">
        <v>180</v>
      </c>
      <c r="B33" s="13" t="s">
        <v>240</v>
      </c>
      <c r="C33" s="16" t="s">
        <v>247</v>
      </c>
      <c r="D33" s="13" t="s">
        <v>230</v>
      </c>
      <c r="E33" s="13" t="s">
        <v>242</v>
      </c>
      <c r="F33" s="13" t="s">
        <v>249</v>
      </c>
      <c r="G33" s="21" t="s">
        <v>30</v>
      </c>
      <c r="I33" s="13" t="s">
        <v>115</v>
      </c>
      <c r="J33" s="13" t="s">
        <v>85</v>
      </c>
      <c r="K33" s="16" t="s">
        <v>226</v>
      </c>
      <c r="L33" s="13" t="s">
        <v>33</v>
      </c>
      <c r="M33" s="13" t="s">
        <v>227</v>
      </c>
      <c r="N33" s="13" t="s">
        <v>491</v>
      </c>
      <c r="O33" s="21" t="s">
        <v>30</v>
      </c>
    </row>
    <row r="34" spans="1:15" ht="42" customHeight="1" x14ac:dyDescent="0.25">
      <c r="A34" s="13" t="s">
        <v>187</v>
      </c>
      <c r="B34" s="13" t="s">
        <v>246</v>
      </c>
      <c r="C34" s="16" t="s">
        <v>256</v>
      </c>
      <c r="D34" s="13" t="s">
        <v>230</v>
      </c>
      <c r="E34" s="13" t="s">
        <v>248</v>
      </c>
      <c r="F34" s="13" t="s">
        <v>258</v>
      </c>
      <c r="G34" s="21" t="s">
        <v>30</v>
      </c>
      <c r="I34" s="13" t="s">
        <v>115</v>
      </c>
      <c r="J34" s="13" t="s">
        <v>92</v>
      </c>
      <c r="K34" s="16" t="s">
        <v>232</v>
      </c>
      <c r="L34" s="13" t="s">
        <v>33</v>
      </c>
      <c r="M34" s="13" t="s">
        <v>233</v>
      </c>
      <c r="N34" s="13" t="s">
        <v>492</v>
      </c>
      <c r="O34" s="21" t="s">
        <v>30</v>
      </c>
    </row>
    <row r="35" spans="1:15" ht="42" customHeight="1" x14ac:dyDescent="0.25">
      <c r="A35" s="13" t="s">
        <v>254</v>
      </c>
      <c r="B35" s="13" t="s">
        <v>255</v>
      </c>
      <c r="C35" s="16" t="s">
        <v>263</v>
      </c>
      <c r="D35" s="13" t="s">
        <v>552</v>
      </c>
      <c r="E35" s="13" t="s">
        <v>257</v>
      </c>
      <c r="F35" s="13" t="s">
        <v>265</v>
      </c>
      <c r="G35" s="21" t="s">
        <v>30</v>
      </c>
      <c r="I35" s="13" t="s">
        <v>115</v>
      </c>
      <c r="J35" s="13" t="s">
        <v>99</v>
      </c>
      <c r="K35" s="16" t="s">
        <v>238</v>
      </c>
      <c r="L35" s="13" t="s">
        <v>101</v>
      </c>
      <c r="M35" s="13" t="s">
        <v>239</v>
      </c>
      <c r="N35" s="13" t="s">
        <v>493</v>
      </c>
      <c r="O35" s="21" t="s">
        <v>30</v>
      </c>
    </row>
    <row r="36" spans="1:15" ht="42" customHeight="1" x14ac:dyDescent="0.25">
      <c r="A36" s="13" t="s">
        <v>254</v>
      </c>
      <c r="B36" s="13" t="s">
        <v>262</v>
      </c>
      <c r="C36" s="16" t="s">
        <v>270</v>
      </c>
      <c r="D36" s="13" t="s">
        <v>552</v>
      </c>
      <c r="E36" s="13" t="s">
        <v>264</v>
      </c>
      <c r="F36" s="13" t="s">
        <v>272</v>
      </c>
      <c r="G36" s="21" t="s">
        <v>30</v>
      </c>
      <c r="I36" s="13" t="s">
        <v>115</v>
      </c>
      <c r="J36" s="13" t="s">
        <v>107</v>
      </c>
      <c r="K36" s="16" t="s">
        <v>244</v>
      </c>
      <c r="L36" s="13" t="s">
        <v>101</v>
      </c>
      <c r="M36" s="13" t="s">
        <v>245</v>
      </c>
      <c r="N36" s="13" t="s">
        <v>494</v>
      </c>
      <c r="O36" s="21" t="s">
        <v>30</v>
      </c>
    </row>
    <row r="37" spans="1:15" ht="45.95" customHeight="1" x14ac:dyDescent="0.25">
      <c r="A37" s="13" t="s">
        <v>254</v>
      </c>
      <c r="B37" s="13" t="s">
        <v>269</v>
      </c>
      <c r="C37" s="16" t="s">
        <v>277</v>
      </c>
      <c r="D37" s="13" t="s">
        <v>552</v>
      </c>
      <c r="E37" s="13" t="s">
        <v>271</v>
      </c>
      <c r="F37" s="13" t="s">
        <v>279</v>
      </c>
      <c r="G37" s="21" t="s">
        <v>30</v>
      </c>
      <c r="I37" s="13" t="s">
        <v>146</v>
      </c>
      <c r="J37" s="13" t="s">
        <v>250</v>
      </c>
      <c r="K37" s="16" t="s">
        <v>251</v>
      </c>
      <c r="L37" s="13" t="s">
        <v>252</v>
      </c>
      <c r="M37" s="13" t="s">
        <v>253</v>
      </c>
      <c r="N37" s="13" t="s">
        <v>495</v>
      </c>
      <c r="O37" s="21" t="s">
        <v>30</v>
      </c>
    </row>
    <row r="38" spans="1:15" ht="45.95" customHeight="1" x14ac:dyDescent="0.25">
      <c r="A38" s="13" t="s">
        <v>254</v>
      </c>
      <c r="B38" s="13" t="s">
        <v>276</v>
      </c>
      <c r="C38" s="16" t="s">
        <v>284</v>
      </c>
      <c r="D38" s="13" t="s">
        <v>552</v>
      </c>
      <c r="E38" s="13" t="s">
        <v>278</v>
      </c>
      <c r="F38" s="13" t="s">
        <v>286</v>
      </c>
      <c r="G38" s="21" t="s">
        <v>30</v>
      </c>
      <c r="I38" s="13" t="s">
        <v>146</v>
      </c>
      <c r="J38" s="13" t="s">
        <v>259</v>
      </c>
      <c r="K38" s="16" t="s">
        <v>260</v>
      </c>
      <c r="L38" s="13" t="s">
        <v>252</v>
      </c>
      <c r="M38" s="13" t="s">
        <v>261</v>
      </c>
      <c r="N38" s="13" t="s">
        <v>496</v>
      </c>
      <c r="O38" s="21" t="s">
        <v>30</v>
      </c>
    </row>
    <row r="39" spans="1:15" ht="45.95" customHeight="1" x14ac:dyDescent="0.25">
      <c r="A39" s="13" t="s">
        <v>254</v>
      </c>
      <c r="B39" s="13" t="s">
        <v>283</v>
      </c>
      <c r="C39" s="16" t="s">
        <v>291</v>
      </c>
      <c r="D39" s="13" t="s">
        <v>552</v>
      </c>
      <c r="E39" s="13" t="s">
        <v>285</v>
      </c>
      <c r="F39" s="13" t="s">
        <v>293</v>
      </c>
      <c r="G39" s="21" t="s">
        <v>30</v>
      </c>
      <c r="I39" s="13" t="s">
        <v>146</v>
      </c>
      <c r="J39" s="13" t="s">
        <v>266</v>
      </c>
      <c r="K39" s="16" t="s">
        <v>267</v>
      </c>
      <c r="L39" s="13" t="s">
        <v>252</v>
      </c>
      <c r="M39" s="13" t="s">
        <v>268</v>
      </c>
      <c r="N39" s="13" t="s">
        <v>497</v>
      </c>
      <c r="O39" s="21" t="s">
        <v>30</v>
      </c>
    </row>
    <row r="40" spans="1:15" ht="45.95" customHeight="1" x14ac:dyDescent="0.25">
      <c r="A40" s="13" t="s">
        <v>254</v>
      </c>
      <c r="B40" s="13" t="s">
        <v>290</v>
      </c>
      <c r="C40" s="16" t="s">
        <v>553</v>
      </c>
      <c r="D40" s="13" t="s">
        <v>552</v>
      </c>
      <c r="E40" s="13" t="s">
        <v>292</v>
      </c>
      <c r="F40" s="13" t="s">
        <v>69</v>
      </c>
      <c r="G40" s="21" t="s">
        <v>30</v>
      </c>
      <c r="I40" s="13" t="s">
        <v>146</v>
      </c>
      <c r="J40" s="13" t="s">
        <v>273</v>
      </c>
      <c r="K40" s="16" t="s">
        <v>274</v>
      </c>
      <c r="L40" s="13" t="s">
        <v>252</v>
      </c>
      <c r="M40" s="13" t="s">
        <v>275</v>
      </c>
      <c r="N40" s="13" t="s">
        <v>498</v>
      </c>
      <c r="O40" s="21" t="s">
        <v>30</v>
      </c>
    </row>
    <row r="41" spans="1:15" ht="45.95" customHeight="1" x14ac:dyDescent="0.25">
      <c r="A41" s="13" t="s">
        <v>298</v>
      </c>
      <c r="B41" s="13" t="s">
        <v>299</v>
      </c>
      <c r="C41" s="16" t="s">
        <v>554</v>
      </c>
      <c r="D41" s="13" t="s">
        <v>555</v>
      </c>
      <c r="E41" s="13" t="s">
        <v>301</v>
      </c>
      <c r="F41" s="13" t="s">
        <v>111</v>
      </c>
      <c r="G41" s="21" t="s">
        <v>30</v>
      </c>
      <c r="I41" s="13" t="s">
        <v>146</v>
      </c>
      <c r="J41" s="13" t="s">
        <v>280</v>
      </c>
      <c r="K41" s="16" t="s">
        <v>281</v>
      </c>
      <c r="L41" s="13" t="s">
        <v>252</v>
      </c>
      <c r="M41" s="13" t="s">
        <v>282</v>
      </c>
      <c r="N41" s="13" t="s">
        <v>499</v>
      </c>
      <c r="O41" s="21" t="s">
        <v>30</v>
      </c>
    </row>
    <row r="42" spans="1:15" ht="45.95" customHeight="1" x14ac:dyDescent="0.25">
      <c r="A42" s="13" t="s">
        <v>298</v>
      </c>
      <c r="B42" s="13" t="s">
        <v>307</v>
      </c>
      <c r="C42" s="16" t="s">
        <v>556</v>
      </c>
      <c r="D42" s="13" t="s">
        <v>557</v>
      </c>
      <c r="E42" s="13" t="s">
        <v>309</v>
      </c>
      <c r="F42" s="13" t="s">
        <v>143</v>
      </c>
      <c r="G42" s="21" t="s">
        <v>30</v>
      </c>
      <c r="I42" s="13" t="s">
        <v>146</v>
      </c>
      <c r="J42" s="13" t="s">
        <v>287</v>
      </c>
      <c r="K42" s="16" t="s">
        <v>288</v>
      </c>
      <c r="L42" s="13" t="s">
        <v>252</v>
      </c>
      <c r="M42" s="13" t="s">
        <v>289</v>
      </c>
      <c r="N42" s="13" t="s">
        <v>500</v>
      </c>
      <c r="O42" s="21" t="s">
        <v>30</v>
      </c>
    </row>
    <row r="43" spans="1:15" ht="45.95" customHeight="1" x14ac:dyDescent="0.25">
      <c r="A43" s="13" t="s">
        <v>315</v>
      </c>
      <c r="B43" s="13" t="s">
        <v>299</v>
      </c>
      <c r="C43" s="16" t="s">
        <v>223</v>
      </c>
      <c r="D43" s="13" t="s">
        <v>555</v>
      </c>
      <c r="E43" s="13" t="s">
        <v>316</v>
      </c>
      <c r="F43" s="13" t="s">
        <v>225</v>
      </c>
      <c r="G43" s="21" t="s">
        <v>30</v>
      </c>
      <c r="I43" s="13" t="s">
        <v>294</v>
      </c>
      <c r="J43" s="13" t="s">
        <v>295</v>
      </c>
      <c r="K43" s="16" t="s">
        <v>296</v>
      </c>
      <c r="L43" s="13" t="s">
        <v>560</v>
      </c>
      <c r="M43" s="13" t="s">
        <v>297</v>
      </c>
      <c r="N43" s="13" t="s">
        <v>501</v>
      </c>
      <c r="O43" s="21" t="s">
        <v>30</v>
      </c>
    </row>
    <row r="44" spans="1:15" ht="60.95" customHeight="1" x14ac:dyDescent="0.25">
      <c r="A44" s="13" t="s">
        <v>315</v>
      </c>
      <c r="B44" s="13" t="s">
        <v>307</v>
      </c>
      <c r="C44" s="16" t="s">
        <v>300</v>
      </c>
      <c r="D44" s="13" t="s">
        <v>557</v>
      </c>
      <c r="E44" s="13" t="s">
        <v>321</v>
      </c>
      <c r="F44" s="13" t="s">
        <v>302</v>
      </c>
      <c r="G44" s="21" t="s">
        <v>30</v>
      </c>
      <c r="I44" s="13" t="s">
        <v>303</v>
      </c>
      <c r="J44" s="13" t="s">
        <v>304</v>
      </c>
      <c r="K44" s="16" t="s">
        <v>305</v>
      </c>
      <c r="L44" s="13" t="s">
        <v>561</v>
      </c>
      <c r="M44" s="13" t="s">
        <v>306</v>
      </c>
      <c r="N44" s="13" t="s">
        <v>502</v>
      </c>
      <c r="O44" s="21" t="s">
        <v>30</v>
      </c>
    </row>
    <row r="45" spans="1:15" ht="60.95" customHeight="1" x14ac:dyDescent="0.25">
      <c r="A45" s="13" t="s">
        <v>326</v>
      </c>
      <c r="B45" s="13" t="s">
        <v>255</v>
      </c>
      <c r="C45" s="16" t="s">
        <v>308</v>
      </c>
      <c r="D45" s="13" t="s">
        <v>552</v>
      </c>
      <c r="E45" s="13" t="s">
        <v>328</v>
      </c>
      <c r="F45" s="13" t="s">
        <v>310</v>
      </c>
      <c r="G45" s="21" t="s">
        <v>30</v>
      </c>
      <c r="I45" s="13" t="s">
        <v>311</v>
      </c>
      <c r="J45" s="13" t="s">
        <v>312</v>
      </c>
      <c r="K45" s="16" t="s">
        <v>313</v>
      </c>
      <c r="L45" s="13" t="s">
        <v>562</v>
      </c>
      <c r="M45" s="13" t="s">
        <v>314</v>
      </c>
      <c r="N45" s="13" t="s">
        <v>503</v>
      </c>
      <c r="O45" s="21" t="s">
        <v>30</v>
      </c>
    </row>
    <row r="46" spans="1:15" ht="60.95" customHeight="1" x14ac:dyDescent="0.25">
      <c r="A46" s="13" t="s">
        <v>326</v>
      </c>
      <c r="B46" s="13" t="s">
        <v>262</v>
      </c>
      <c r="C46" s="16" t="s">
        <v>327</v>
      </c>
      <c r="D46" s="13" t="s">
        <v>552</v>
      </c>
      <c r="E46" s="13" t="s">
        <v>335</v>
      </c>
      <c r="F46" s="13" t="s">
        <v>329</v>
      </c>
      <c r="G46" s="21" t="s">
        <v>30</v>
      </c>
      <c r="I46" s="13" t="s">
        <v>317</v>
      </c>
      <c r="J46" s="13" t="s">
        <v>318</v>
      </c>
      <c r="K46" s="16" t="s">
        <v>319</v>
      </c>
      <c r="L46" s="13" t="s">
        <v>563</v>
      </c>
      <c r="M46" s="13" t="s">
        <v>320</v>
      </c>
      <c r="N46" s="13" t="s">
        <v>504</v>
      </c>
      <c r="O46" s="21" t="s">
        <v>30</v>
      </c>
    </row>
    <row r="47" spans="1:15" ht="60.95" customHeight="1" x14ac:dyDescent="0.25">
      <c r="A47" s="13" t="s">
        <v>326</v>
      </c>
      <c r="B47" s="13" t="s">
        <v>269</v>
      </c>
      <c r="C47" s="16" t="s">
        <v>334</v>
      </c>
      <c r="D47" s="13" t="s">
        <v>552</v>
      </c>
      <c r="E47" s="13" t="s">
        <v>342</v>
      </c>
      <c r="F47" s="13" t="s">
        <v>336</v>
      </c>
      <c r="G47" s="21" t="s">
        <v>30</v>
      </c>
      <c r="I47" s="13" t="s">
        <v>322</v>
      </c>
      <c r="J47" s="13" t="s">
        <v>323</v>
      </c>
      <c r="K47" s="16" t="s">
        <v>324</v>
      </c>
      <c r="L47" s="13" t="s">
        <v>563</v>
      </c>
      <c r="M47" s="13" t="s">
        <v>325</v>
      </c>
      <c r="N47" s="13" t="s">
        <v>505</v>
      </c>
      <c r="O47" s="21" t="s">
        <v>30</v>
      </c>
    </row>
    <row r="48" spans="1:15" ht="45.95" customHeight="1" x14ac:dyDescent="0.25">
      <c r="A48" s="13" t="s">
        <v>326</v>
      </c>
      <c r="B48" s="13" t="s">
        <v>276</v>
      </c>
      <c r="C48" s="16" t="s">
        <v>341</v>
      </c>
      <c r="D48" s="13" t="s">
        <v>552</v>
      </c>
      <c r="E48" s="13" t="s">
        <v>349</v>
      </c>
      <c r="F48" s="13" t="s">
        <v>343</v>
      </c>
      <c r="G48" s="21" t="s">
        <v>30</v>
      </c>
      <c r="I48" s="13" t="s">
        <v>330</v>
      </c>
      <c r="J48" s="13" t="s">
        <v>331</v>
      </c>
      <c r="K48" s="16" t="s">
        <v>332</v>
      </c>
      <c r="L48" s="13" t="s">
        <v>563</v>
      </c>
      <c r="M48" s="13" t="s">
        <v>333</v>
      </c>
      <c r="N48" s="13" t="s">
        <v>506</v>
      </c>
      <c r="O48" s="21" t="s">
        <v>30</v>
      </c>
    </row>
    <row r="49" spans="1:15" ht="45.95" customHeight="1" x14ac:dyDescent="0.25">
      <c r="A49" s="13" t="s">
        <v>326</v>
      </c>
      <c r="B49" s="13" t="s">
        <v>283</v>
      </c>
      <c r="C49" s="16" t="s">
        <v>348</v>
      </c>
      <c r="D49" s="13" t="s">
        <v>552</v>
      </c>
      <c r="E49" s="13" t="s">
        <v>356</v>
      </c>
      <c r="F49" s="13" t="s">
        <v>350</v>
      </c>
      <c r="G49" s="21" t="s">
        <v>30</v>
      </c>
      <c r="I49" s="13" t="s">
        <v>337</v>
      </c>
      <c r="J49" s="13" t="s">
        <v>338</v>
      </c>
      <c r="K49" s="16" t="s">
        <v>339</v>
      </c>
      <c r="L49" s="13" t="s">
        <v>563</v>
      </c>
      <c r="M49" s="13" t="s">
        <v>340</v>
      </c>
      <c r="N49" s="13" t="s">
        <v>507</v>
      </c>
      <c r="O49" s="21" t="s">
        <v>30</v>
      </c>
    </row>
    <row r="50" spans="1:15" ht="45.95" customHeight="1" x14ac:dyDescent="0.25">
      <c r="A50" s="14" t="s">
        <v>326</v>
      </c>
      <c r="B50" s="14" t="s">
        <v>290</v>
      </c>
      <c r="C50" s="17" t="s">
        <v>355</v>
      </c>
      <c r="D50" s="14" t="s">
        <v>552</v>
      </c>
      <c r="E50" s="14" t="s">
        <v>362</v>
      </c>
      <c r="F50" s="14" t="s">
        <v>357</v>
      </c>
      <c r="G50" s="22" t="s">
        <v>30</v>
      </c>
      <c r="I50" s="13" t="s">
        <v>344</v>
      </c>
      <c r="J50" s="13" t="s">
        <v>345</v>
      </c>
      <c r="K50" s="16" t="s">
        <v>346</v>
      </c>
      <c r="L50" s="13" t="s">
        <v>563</v>
      </c>
      <c r="M50" s="13" t="s">
        <v>347</v>
      </c>
      <c r="N50" s="13" t="s">
        <v>508</v>
      </c>
      <c r="O50" s="21" t="s">
        <v>30</v>
      </c>
    </row>
    <row r="51" spans="1:15" ht="45.95" customHeight="1" x14ac:dyDescent="0.25">
      <c r="I51" s="13" t="s">
        <v>351</v>
      </c>
      <c r="J51" s="13" t="s">
        <v>352</v>
      </c>
      <c r="K51" s="16" t="s">
        <v>353</v>
      </c>
      <c r="L51" s="13" t="s">
        <v>563</v>
      </c>
      <c r="M51" s="13" t="s">
        <v>354</v>
      </c>
      <c r="N51" s="13" t="s">
        <v>509</v>
      </c>
      <c r="O51" s="21" t="s">
        <v>30</v>
      </c>
    </row>
    <row r="52" spans="1:15" ht="45.95" customHeight="1" x14ac:dyDescent="0.25">
      <c r="I52" s="13" t="s">
        <v>358</v>
      </c>
      <c r="J52" s="13" t="s">
        <v>359</v>
      </c>
      <c r="K52" s="16" t="s">
        <v>360</v>
      </c>
      <c r="L52" s="13" t="s">
        <v>563</v>
      </c>
      <c r="M52" s="13" t="s">
        <v>361</v>
      </c>
      <c r="N52" s="13" t="s">
        <v>510</v>
      </c>
      <c r="O52" s="21" t="s">
        <v>30</v>
      </c>
    </row>
    <row r="53" spans="1:15" ht="45.95" customHeight="1" x14ac:dyDescent="0.25">
      <c r="I53" s="13" t="s">
        <v>165</v>
      </c>
      <c r="J53" s="13" t="s">
        <v>564</v>
      </c>
      <c r="K53" s="16" t="s">
        <v>363</v>
      </c>
      <c r="L53" s="13" t="s">
        <v>565</v>
      </c>
      <c r="M53" s="13" t="s">
        <v>364</v>
      </c>
      <c r="N53" s="13" t="s">
        <v>511</v>
      </c>
      <c r="O53" s="21" t="s">
        <v>30</v>
      </c>
    </row>
    <row r="54" spans="1:15" ht="42" customHeight="1" x14ac:dyDescent="0.25">
      <c r="I54" s="13" t="s">
        <v>173</v>
      </c>
      <c r="J54" s="13" t="s">
        <v>566</v>
      </c>
      <c r="K54" s="16" t="s">
        <v>365</v>
      </c>
      <c r="L54" s="13" t="s">
        <v>565</v>
      </c>
      <c r="M54" s="13" t="s">
        <v>366</v>
      </c>
      <c r="N54" s="13" t="s">
        <v>512</v>
      </c>
      <c r="O54" s="21" t="s">
        <v>30</v>
      </c>
    </row>
    <row r="55" spans="1:15" ht="42" customHeight="1" x14ac:dyDescent="0.25">
      <c r="I55" s="13" t="s">
        <v>180</v>
      </c>
      <c r="J55" s="13" t="s">
        <v>567</v>
      </c>
      <c r="K55" s="16" t="s">
        <v>367</v>
      </c>
      <c r="L55" s="13" t="s">
        <v>565</v>
      </c>
      <c r="M55" s="13" t="s">
        <v>368</v>
      </c>
      <c r="N55" s="13" t="s">
        <v>513</v>
      </c>
      <c r="O55" s="21" t="s">
        <v>30</v>
      </c>
    </row>
    <row r="56" spans="1:15" ht="42" customHeight="1" x14ac:dyDescent="0.25">
      <c r="I56" s="13" t="s">
        <v>187</v>
      </c>
      <c r="J56" s="13" t="s">
        <v>568</v>
      </c>
      <c r="K56" s="16" t="s">
        <v>369</v>
      </c>
      <c r="L56" s="13" t="s">
        <v>565</v>
      </c>
      <c r="M56" s="13" t="s">
        <v>370</v>
      </c>
      <c r="N56" s="13" t="s">
        <v>514</v>
      </c>
      <c r="O56" s="21" t="s">
        <v>30</v>
      </c>
    </row>
    <row r="57" spans="1:15" ht="45.95" customHeight="1" x14ac:dyDescent="0.25">
      <c r="I57" s="13" t="s">
        <v>371</v>
      </c>
      <c r="J57" s="13" t="s">
        <v>372</v>
      </c>
      <c r="K57" s="16" t="s">
        <v>373</v>
      </c>
      <c r="L57" s="13" t="s">
        <v>374</v>
      </c>
      <c r="M57" s="13" t="s">
        <v>375</v>
      </c>
      <c r="N57" s="13" t="s">
        <v>515</v>
      </c>
      <c r="O57" s="21" t="s">
        <v>30</v>
      </c>
    </row>
    <row r="58" spans="1:15" ht="45.95" customHeight="1" x14ac:dyDescent="0.25">
      <c r="I58" s="13" t="s">
        <v>376</v>
      </c>
      <c r="J58" s="13" t="s">
        <v>377</v>
      </c>
      <c r="K58" s="16" t="s">
        <v>378</v>
      </c>
      <c r="L58" s="13" t="s">
        <v>374</v>
      </c>
      <c r="M58" s="13" t="s">
        <v>379</v>
      </c>
      <c r="N58" s="13" t="s">
        <v>516</v>
      </c>
      <c r="O58" s="21" t="s">
        <v>30</v>
      </c>
    </row>
    <row r="59" spans="1:15" ht="45.95" customHeight="1" x14ac:dyDescent="0.25">
      <c r="I59" s="13" t="s">
        <v>380</v>
      </c>
      <c r="J59" s="13" t="s">
        <v>381</v>
      </c>
      <c r="K59" s="16" t="s">
        <v>382</v>
      </c>
      <c r="L59" s="13" t="s">
        <v>374</v>
      </c>
      <c r="M59" s="13" t="s">
        <v>383</v>
      </c>
      <c r="N59" s="13" t="s">
        <v>517</v>
      </c>
      <c r="O59" s="21" t="s">
        <v>30</v>
      </c>
    </row>
    <row r="60" spans="1:15" ht="60.95" customHeight="1" x14ac:dyDescent="0.25">
      <c r="I60" s="13" t="s">
        <v>384</v>
      </c>
      <c r="J60" s="13" t="s">
        <v>385</v>
      </c>
      <c r="K60" s="16" t="s">
        <v>386</v>
      </c>
      <c r="L60" s="13" t="s">
        <v>387</v>
      </c>
      <c r="M60" s="13" t="s">
        <v>388</v>
      </c>
      <c r="N60" s="13" t="s">
        <v>389</v>
      </c>
      <c r="O60" s="23" t="s">
        <v>390</v>
      </c>
    </row>
    <row r="61" spans="1:15" ht="60.95" customHeight="1" x14ac:dyDescent="0.25">
      <c r="I61" s="13" t="s">
        <v>384</v>
      </c>
      <c r="J61" s="13" t="s">
        <v>391</v>
      </c>
      <c r="K61" s="16" t="s">
        <v>392</v>
      </c>
      <c r="L61" s="13" t="s">
        <v>393</v>
      </c>
      <c r="M61" s="13" t="s">
        <v>394</v>
      </c>
      <c r="N61" s="13" t="s">
        <v>395</v>
      </c>
      <c r="O61" s="23" t="s">
        <v>390</v>
      </c>
    </row>
    <row r="62" spans="1:15" ht="60.95" customHeight="1" x14ac:dyDescent="0.25">
      <c r="I62" s="13" t="s">
        <v>384</v>
      </c>
      <c r="J62" s="13" t="s">
        <v>396</v>
      </c>
      <c r="K62" s="16" t="s">
        <v>397</v>
      </c>
      <c r="L62" s="13" t="s">
        <v>569</v>
      </c>
      <c r="M62" s="13" t="s">
        <v>398</v>
      </c>
      <c r="N62" s="13" t="s">
        <v>518</v>
      </c>
      <c r="O62" s="21" t="s">
        <v>30</v>
      </c>
    </row>
    <row r="63" spans="1:15" ht="60.95" customHeight="1" x14ac:dyDescent="0.25">
      <c r="I63" s="13" t="s">
        <v>384</v>
      </c>
      <c r="J63" s="13" t="s">
        <v>399</v>
      </c>
      <c r="K63" s="16" t="s">
        <v>400</v>
      </c>
      <c r="L63" s="13" t="s">
        <v>570</v>
      </c>
      <c r="M63" s="13" t="s">
        <v>401</v>
      </c>
      <c r="N63" s="13" t="s">
        <v>519</v>
      </c>
      <c r="O63" s="21" t="s">
        <v>30</v>
      </c>
    </row>
    <row r="64" spans="1:15" ht="45.95" customHeight="1" x14ac:dyDescent="0.25">
      <c r="I64" s="13" t="s">
        <v>384</v>
      </c>
      <c r="J64" s="13" t="s">
        <v>402</v>
      </c>
      <c r="K64" s="16" t="s">
        <v>403</v>
      </c>
      <c r="L64" s="13" t="s">
        <v>571</v>
      </c>
      <c r="M64" s="13" t="s">
        <v>404</v>
      </c>
      <c r="N64" s="13" t="s">
        <v>520</v>
      </c>
      <c r="O64" s="21" t="s">
        <v>30</v>
      </c>
    </row>
    <row r="65" spans="9:15" ht="45.95" customHeight="1" x14ac:dyDescent="0.25">
      <c r="I65" s="13" t="s">
        <v>384</v>
      </c>
      <c r="J65" s="13" t="s">
        <v>405</v>
      </c>
      <c r="K65" s="16" t="s">
        <v>406</v>
      </c>
      <c r="L65" s="13" t="s">
        <v>572</v>
      </c>
      <c r="M65" s="13" t="s">
        <v>407</v>
      </c>
      <c r="N65" s="13" t="s">
        <v>521</v>
      </c>
      <c r="O65" s="21" t="s">
        <v>30</v>
      </c>
    </row>
    <row r="66" spans="9:15" ht="45.95" customHeight="1" x14ac:dyDescent="0.25">
      <c r="I66" s="13" t="s">
        <v>384</v>
      </c>
      <c r="J66" s="13" t="s">
        <v>408</v>
      </c>
      <c r="K66" s="16" t="s">
        <v>409</v>
      </c>
      <c r="L66" s="13" t="s">
        <v>573</v>
      </c>
      <c r="M66" s="13" t="s">
        <v>410</v>
      </c>
      <c r="N66" s="13" t="s">
        <v>522</v>
      </c>
      <c r="O66" s="21" t="s">
        <v>30</v>
      </c>
    </row>
    <row r="67" spans="9:15" ht="45.95" customHeight="1" x14ac:dyDescent="0.25">
      <c r="I67" s="13" t="s">
        <v>384</v>
      </c>
      <c r="J67" s="13" t="s">
        <v>411</v>
      </c>
      <c r="K67" s="16" t="s">
        <v>412</v>
      </c>
      <c r="L67" s="13" t="s">
        <v>574</v>
      </c>
      <c r="M67" s="13" t="s">
        <v>413</v>
      </c>
      <c r="N67" s="13" t="s">
        <v>523</v>
      </c>
      <c r="O67" s="21" t="s">
        <v>30</v>
      </c>
    </row>
    <row r="68" spans="9:15" ht="45.95" customHeight="1" x14ac:dyDescent="0.25">
      <c r="I68" s="13" t="s">
        <v>254</v>
      </c>
      <c r="J68" s="13" t="s">
        <v>414</v>
      </c>
      <c r="K68" s="16" t="s">
        <v>415</v>
      </c>
      <c r="L68" s="13" t="s">
        <v>416</v>
      </c>
      <c r="M68" s="13" t="s">
        <v>417</v>
      </c>
      <c r="N68" s="13" t="s">
        <v>524</v>
      </c>
      <c r="O68" s="21" t="s">
        <v>30</v>
      </c>
    </row>
    <row r="69" spans="9:15" ht="45.95" customHeight="1" x14ac:dyDescent="0.25">
      <c r="I69" s="13" t="s">
        <v>254</v>
      </c>
      <c r="J69" s="13" t="s">
        <v>418</v>
      </c>
      <c r="K69" s="16" t="s">
        <v>419</v>
      </c>
      <c r="L69" s="13" t="s">
        <v>416</v>
      </c>
      <c r="M69" s="13" t="s">
        <v>420</v>
      </c>
      <c r="N69" s="13" t="s">
        <v>525</v>
      </c>
      <c r="O69" s="21" t="s">
        <v>30</v>
      </c>
    </row>
    <row r="70" spans="9:15" ht="45.95" customHeight="1" x14ac:dyDescent="0.25">
      <c r="I70" s="13" t="s">
        <v>254</v>
      </c>
      <c r="J70" s="13" t="s">
        <v>421</v>
      </c>
      <c r="K70" s="16" t="s">
        <v>422</v>
      </c>
      <c r="L70" s="13" t="s">
        <v>416</v>
      </c>
      <c r="M70" s="13" t="s">
        <v>423</v>
      </c>
      <c r="N70" s="13" t="s">
        <v>526</v>
      </c>
      <c r="O70" s="21" t="s">
        <v>30</v>
      </c>
    </row>
    <row r="71" spans="9:15" ht="42" customHeight="1" x14ac:dyDescent="0.25">
      <c r="I71" s="13" t="s">
        <v>254</v>
      </c>
      <c r="J71" s="13" t="s">
        <v>424</v>
      </c>
      <c r="K71" s="16" t="s">
        <v>425</v>
      </c>
      <c r="L71" s="13" t="s">
        <v>416</v>
      </c>
      <c r="M71" s="13" t="s">
        <v>426</v>
      </c>
      <c r="N71" s="13" t="s">
        <v>527</v>
      </c>
      <c r="O71" s="21" t="s">
        <v>30</v>
      </c>
    </row>
    <row r="72" spans="9:15" ht="42" customHeight="1" x14ac:dyDescent="0.25">
      <c r="I72" s="13" t="s">
        <v>254</v>
      </c>
      <c r="J72" s="13" t="s">
        <v>427</v>
      </c>
      <c r="K72" s="16" t="s">
        <v>428</v>
      </c>
      <c r="L72" s="13" t="s">
        <v>416</v>
      </c>
      <c r="M72" s="13" t="s">
        <v>429</v>
      </c>
      <c r="N72" s="13" t="s">
        <v>528</v>
      </c>
      <c r="O72" s="21" t="s">
        <v>30</v>
      </c>
    </row>
    <row r="73" spans="9:15" ht="42" customHeight="1" x14ac:dyDescent="0.25">
      <c r="I73" s="13" t="s">
        <v>254</v>
      </c>
      <c r="J73" s="13" t="s">
        <v>430</v>
      </c>
      <c r="K73" s="16" t="s">
        <v>431</v>
      </c>
      <c r="L73" s="13" t="s">
        <v>416</v>
      </c>
      <c r="M73" s="13" t="s">
        <v>432</v>
      </c>
      <c r="N73" s="13" t="s">
        <v>529</v>
      </c>
      <c r="O73" s="21" t="s">
        <v>30</v>
      </c>
    </row>
    <row r="74" spans="9:15" ht="42" customHeight="1" x14ac:dyDescent="0.25">
      <c r="I74" s="13" t="s">
        <v>298</v>
      </c>
      <c r="J74" s="13" t="s">
        <v>433</v>
      </c>
      <c r="K74" s="16" t="s">
        <v>452</v>
      </c>
      <c r="L74" s="13" t="s">
        <v>435</v>
      </c>
      <c r="M74" s="13" t="s">
        <v>436</v>
      </c>
      <c r="N74" s="13" t="s">
        <v>530</v>
      </c>
      <c r="O74" s="21" t="s">
        <v>30</v>
      </c>
    </row>
    <row r="75" spans="9:15" ht="42" customHeight="1" x14ac:dyDescent="0.25">
      <c r="I75" s="13" t="s">
        <v>298</v>
      </c>
      <c r="J75" s="13" t="s">
        <v>437</v>
      </c>
      <c r="K75" s="16" t="s">
        <v>456</v>
      </c>
      <c r="L75" s="13" t="s">
        <v>435</v>
      </c>
      <c r="M75" s="13" t="s">
        <v>439</v>
      </c>
      <c r="N75" s="13" t="s">
        <v>531</v>
      </c>
      <c r="O75" s="21" t="s">
        <v>30</v>
      </c>
    </row>
    <row r="76" spans="9:15" ht="42" customHeight="1" x14ac:dyDescent="0.25">
      <c r="I76" s="13" t="s">
        <v>298</v>
      </c>
      <c r="J76" s="13" t="s">
        <v>440</v>
      </c>
      <c r="K76" s="16" t="s">
        <v>459</v>
      </c>
      <c r="L76" s="13" t="s">
        <v>442</v>
      </c>
      <c r="M76" s="13" t="s">
        <v>443</v>
      </c>
      <c r="N76" s="13" t="s">
        <v>532</v>
      </c>
      <c r="O76" s="21" t="s">
        <v>30</v>
      </c>
    </row>
    <row r="77" spans="9:15" ht="60.95" customHeight="1" x14ac:dyDescent="0.25">
      <c r="I77" s="13" t="s">
        <v>315</v>
      </c>
      <c r="J77" s="13" t="s">
        <v>433</v>
      </c>
      <c r="K77" s="16" t="s">
        <v>462</v>
      </c>
      <c r="L77" s="13" t="s">
        <v>445</v>
      </c>
      <c r="M77" s="13" t="s">
        <v>446</v>
      </c>
      <c r="N77" s="13" t="s">
        <v>533</v>
      </c>
      <c r="O77" s="21" t="s">
        <v>30</v>
      </c>
    </row>
    <row r="78" spans="9:15" ht="60.95" customHeight="1" x14ac:dyDescent="0.25">
      <c r="I78" s="13" t="s">
        <v>315</v>
      </c>
      <c r="J78" s="13" t="s">
        <v>437</v>
      </c>
      <c r="K78" s="16" t="s">
        <v>434</v>
      </c>
      <c r="L78" s="13" t="s">
        <v>445</v>
      </c>
      <c r="M78" s="13" t="s">
        <v>448</v>
      </c>
      <c r="N78" s="13" t="s">
        <v>534</v>
      </c>
      <c r="O78" s="21" t="s">
        <v>30</v>
      </c>
    </row>
    <row r="79" spans="9:15" ht="90.95" customHeight="1" x14ac:dyDescent="0.25">
      <c r="I79" s="13" t="s">
        <v>315</v>
      </c>
      <c r="J79" s="13" t="s">
        <v>440</v>
      </c>
      <c r="K79" s="16" t="s">
        <v>438</v>
      </c>
      <c r="L79" s="13" t="s">
        <v>442</v>
      </c>
      <c r="M79" s="13" t="s">
        <v>450</v>
      </c>
      <c r="N79" s="13" t="s">
        <v>535</v>
      </c>
      <c r="O79" s="21" t="s">
        <v>30</v>
      </c>
    </row>
    <row r="80" spans="9:15" ht="60.95" customHeight="1" x14ac:dyDescent="0.25">
      <c r="I80" s="13" t="s">
        <v>165</v>
      </c>
      <c r="J80" s="13" t="s">
        <v>451</v>
      </c>
      <c r="K80" s="16" t="s">
        <v>441</v>
      </c>
      <c r="L80" s="13" t="s">
        <v>453</v>
      </c>
      <c r="M80" s="13" t="s">
        <v>454</v>
      </c>
      <c r="N80" s="13" t="s">
        <v>536</v>
      </c>
      <c r="O80" s="21" t="s">
        <v>30</v>
      </c>
    </row>
    <row r="81" spans="9:15" ht="60.95" customHeight="1" x14ac:dyDescent="0.25">
      <c r="I81" s="13" t="s">
        <v>173</v>
      </c>
      <c r="J81" s="13" t="s">
        <v>455</v>
      </c>
      <c r="K81" s="16" t="s">
        <v>444</v>
      </c>
      <c r="L81" s="13" t="s">
        <v>453</v>
      </c>
      <c r="M81" s="13" t="s">
        <v>457</v>
      </c>
      <c r="N81" s="13" t="s">
        <v>537</v>
      </c>
      <c r="O81" s="21" t="s">
        <v>30</v>
      </c>
    </row>
    <row r="82" spans="9:15" ht="90.95" customHeight="1" x14ac:dyDescent="0.25">
      <c r="I82" s="13" t="s">
        <v>180</v>
      </c>
      <c r="J82" s="13" t="s">
        <v>458</v>
      </c>
      <c r="K82" s="16" t="s">
        <v>447</v>
      </c>
      <c r="L82" s="13" t="s">
        <v>453</v>
      </c>
      <c r="M82" s="13" t="s">
        <v>460</v>
      </c>
      <c r="N82" s="13" t="s">
        <v>538</v>
      </c>
      <c r="O82" s="21" t="s">
        <v>30</v>
      </c>
    </row>
    <row r="83" spans="9:15" ht="42" customHeight="1" x14ac:dyDescent="0.25">
      <c r="I83" s="13" t="s">
        <v>187</v>
      </c>
      <c r="J83" s="13" t="s">
        <v>461</v>
      </c>
      <c r="K83" s="16" t="s">
        <v>449</v>
      </c>
      <c r="L83" s="13" t="s">
        <v>453</v>
      </c>
      <c r="M83" s="13" t="s">
        <v>463</v>
      </c>
      <c r="N83" s="13" t="s">
        <v>539</v>
      </c>
      <c r="O83" s="21" t="s">
        <v>30</v>
      </c>
    </row>
    <row r="84" spans="9:15" ht="42" customHeight="1" x14ac:dyDescent="0.25">
      <c r="I84" s="13" t="s">
        <v>326</v>
      </c>
      <c r="J84" s="13" t="s">
        <v>414</v>
      </c>
      <c r="K84" s="16" t="s">
        <v>464</v>
      </c>
      <c r="L84" s="13" t="s">
        <v>416</v>
      </c>
      <c r="M84" s="13" t="s">
        <v>465</v>
      </c>
      <c r="N84" s="24" t="s">
        <v>575</v>
      </c>
      <c r="O84" s="21" t="s">
        <v>30</v>
      </c>
    </row>
    <row r="85" spans="9:15" ht="42" customHeight="1" x14ac:dyDescent="0.25">
      <c r="I85" s="13" t="s">
        <v>326</v>
      </c>
      <c r="J85" s="13" t="s">
        <v>418</v>
      </c>
      <c r="K85" s="16" t="s">
        <v>466</v>
      </c>
      <c r="L85" s="13" t="s">
        <v>416</v>
      </c>
      <c r="M85" s="13" t="s">
        <v>467</v>
      </c>
      <c r="N85" s="24" t="s">
        <v>541</v>
      </c>
      <c r="O85" s="21" t="s">
        <v>30</v>
      </c>
    </row>
    <row r="86" spans="9:15" ht="42" customHeight="1" x14ac:dyDescent="0.25">
      <c r="I86" s="13" t="s">
        <v>326</v>
      </c>
      <c r="J86" s="13" t="s">
        <v>421</v>
      </c>
      <c r="K86" s="16" t="s">
        <v>468</v>
      </c>
      <c r="L86" s="13" t="s">
        <v>416</v>
      </c>
      <c r="M86" s="13" t="s">
        <v>469</v>
      </c>
      <c r="N86" s="24" t="s">
        <v>542</v>
      </c>
      <c r="O86" s="21" t="s">
        <v>30</v>
      </c>
    </row>
    <row r="87" spans="9:15" ht="45.95" customHeight="1" x14ac:dyDescent="0.25">
      <c r="I87" s="13" t="s">
        <v>326</v>
      </c>
      <c r="J87" s="13" t="s">
        <v>424</v>
      </c>
      <c r="K87" s="16" t="s">
        <v>470</v>
      </c>
      <c r="L87" s="13" t="s">
        <v>416</v>
      </c>
      <c r="M87" s="13" t="s">
        <v>471</v>
      </c>
      <c r="N87" s="24" t="s">
        <v>543</v>
      </c>
      <c r="O87" s="21" t="s">
        <v>30</v>
      </c>
    </row>
    <row r="88" spans="9:15" ht="45.95" customHeight="1" x14ac:dyDescent="0.25">
      <c r="I88" s="13" t="s">
        <v>326</v>
      </c>
      <c r="J88" s="13" t="s">
        <v>427</v>
      </c>
      <c r="K88" s="16" t="s">
        <v>472</v>
      </c>
      <c r="L88" s="13" t="s">
        <v>416</v>
      </c>
      <c r="M88" s="13" t="s">
        <v>473</v>
      </c>
      <c r="N88" s="24" t="s">
        <v>544</v>
      </c>
      <c r="O88" s="21" t="s">
        <v>30</v>
      </c>
    </row>
    <row r="89" spans="9:15" ht="45.95" customHeight="1" x14ac:dyDescent="0.25">
      <c r="I89" s="14" t="s">
        <v>326</v>
      </c>
      <c r="J89" s="14" t="s">
        <v>430</v>
      </c>
      <c r="K89" s="17" t="s">
        <v>474</v>
      </c>
      <c r="L89" s="14" t="s">
        <v>416</v>
      </c>
      <c r="M89" s="14" t="s">
        <v>475</v>
      </c>
      <c r="N89" s="24" t="s">
        <v>545</v>
      </c>
      <c r="O89" s="22" t="s">
        <v>30</v>
      </c>
    </row>
    <row r="90" spans="9:15" ht="45.95" customHeight="1" x14ac:dyDescent="0.25"/>
    <row r="91" spans="9:15" ht="45.95" customHeight="1" x14ac:dyDescent="0.25"/>
    <row r="92" spans="9:15" ht="45.95" customHeight="1" x14ac:dyDescent="0.25"/>
    <row r="93" spans="9:15" ht="74.099999999999994" customHeight="1" x14ac:dyDescent="0.25"/>
    <row r="94" spans="9:15" ht="74.099999999999994" customHeight="1" x14ac:dyDescent="0.25"/>
    <row r="95" spans="9:15" ht="81.95" customHeight="1" x14ac:dyDescent="0.25"/>
  </sheetData>
  <mergeCells count="4">
    <mergeCell ref="A1:G1"/>
    <mergeCell ref="A2:G2"/>
    <mergeCell ref="I1:O1"/>
    <mergeCell ref="I2:O2"/>
  </mergeCells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E9" sqref="E9"/>
    </sheetView>
  </sheetViews>
  <sheetFormatPr defaultRowHeight="15" x14ac:dyDescent="0.25"/>
  <cols>
    <col min="1" max="1" width="37" customWidth="1"/>
    <col min="2" max="3" width="22" customWidth="1"/>
  </cols>
  <sheetData>
    <row r="1" spans="1:3" ht="30" customHeight="1" x14ac:dyDescent="0.25">
      <c r="A1" s="29" t="s">
        <v>0</v>
      </c>
      <c r="B1" s="29"/>
      <c r="C1" s="29"/>
    </row>
    <row r="3" spans="1:3" ht="24" customHeight="1" x14ac:dyDescent="0.25">
      <c r="A3" s="1" t="s">
        <v>1</v>
      </c>
      <c r="B3" s="2" t="s">
        <v>2</v>
      </c>
      <c r="C3" s="3" t="s">
        <v>3</v>
      </c>
    </row>
    <row r="4" spans="1:3" ht="29.1" customHeight="1" x14ac:dyDescent="0.25">
      <c r="A4" s="7" t="s">
        <v>4</v>
      </c>
      <c r="B4" s="4">
        <f>COUNTA('DO+DI'!C4:C997)</f>
        <v>47</v>
      </c>
      <c r="C4" s="5">
        <f>COUNTA('DO+DI'!K4:K997)</f>
        <v>86</v>
      </c>
    </row>
    <row r="5" spans="1:3" ht="29.1" customHeight="1" x14ac:dyDescent="0.25">
      <c r="A5" s="7" t="s">
        <v>5</v>
      </c>
      <c r="B5" s="4">
        <v>16</v>
      </c>
      <c r="C5" s="5">
        <v>16</v>
      </c>
    </row>
    <row r="6" spans="1:3" ht="29.1" customHeight="1" x14ac:dyDescent="0.25">
      <c r="A6" s="7" t="s">
        <v>6</v>
      </c>
      <c r="B6" s="4" t="s">
        <v>7</v>
      </c>
      <c r="C6" s="5" t="s">
        <v>540</v>
      </c>
    </row>
    <row r="7" spans="1:3" ht="29.1" customHeight="1" x14ac:dyDescent="0.25">
      <c r="A7" s="7" t="s">
        <v>8</v>
      </c>
      <c r="B7" s="4">
        <v>16</v>
      </c>
      <c r="C7" s="5">
        <v>16</v>
      </c>
    </row>
    <row r="8" spans="1:3" ht="29.1" customHeight="1" x14ac:dyDescent="0.25">
      <c r="A8" s="7" t="s">
        <v>9</v>
      </c>
      <c r="B8" s="6">
        <v>4</v>
      </c>
      <c r="C8" s="6">
        <v>6</v>
      </c>
    </row>
    <row r="9" spans="1:3" ht="29.1" customHeight="1" x14ac:dyDescent="0.25">
      <c r="A9" s="7" t="s">
        <v>10</v>
      </c>
      <c r="B9" s="4">
        <f>B5+B7*B8</f>
        <v>80</v>
      </c>
      <c r="C9" s="5">
        <f>C5+C7*C8</f>
        <v>112</v>
      </c>
    </row>
    <row r="10" spans="1:3" ht="29.1" customHeight="1" x14ac:dyDescent="0.25">
      <c r="A10" s="7" t="s">
        <v>11</v>
      </c>
      <c r="B10" s="4">
        <f>B9-B4</f>
        <v>33</v>
      </c>
      <c r="C10" s="5">
        <f>C9-C4</f>
        <v>26</v>
      </c>
    </row>
    <row r="11" spans="1:3" ht="29.1" customHeight="1" x14ac:dyDescent="0.25">
      <c r="A11" s="7" t="s">
        <v>12</v>
      </c>
      <c r="B11" s="4">
        <f>MAX(0,ROUNDUP((B4-B9)/B7,0))</f>
        <v>0</v>
      </c>
      <c r="C11" s="5">
        <f>MAX(0,ROUNDUP((C4-C9)/C7,0))</f>
        <v>0</v>
      </c>
    </row>
    <row r="12" spans="1:3" ht="29.1" customHeight="1" x14ac:dyDescent="0.25">
      <c r="A12" s="8" t="s">
        <v>13</v>
      </c>
      <c r="B12" s="9">
        <v>0</v>
      </c>
      <c r="C12" s="9">
        <v>2</v>
      </c>
    </row>
    <row r="13" spans="1:3" ht="29.1" customHeight="1" x14ac:dyDescent="0.25">
      <c r="A13" s="10" t="s">
        <v>14</v>
      </c>
      <c r="B13" s="11">
        <f>B4</f>
        <v>47</v>
      </c>
      <c r="C13" s="11">
        <f>C4-C12</f>
        <v>84</v>
      </c>
    </row>
    <row r="14" spans="1:3" ht="62.1" customHeight="1" x14ac:dyDescent="0.25">
      <c r="A14" s="28"/>
      <c r="B14" s="28"/>
      <c r="C14" s="28"/>
    </row>
    <row r="15" spans="1:3" ht="62.1" customHeight="1" x14ac:dyDescent="0.25">
      <c r="A15" s="28"/>
      <c r="B15" s="28"/>
      <c r="C15" s="28"/>
    </row>
    <row r="16" spans="1:3" ht="62.1" customHeight="1" x14ac:dyDescent="0.25">
      <c r="A16" s="28"/>
      <c r="B16" s="28"/>
      <c r="C16" s="28"/>
    </row>
    <row r="17" spans="1:3" ht="62.1" customHeight="1" x14ac:dyDescent="0.25">
      <c r="A17" s="28"/>
      <c r="B17" s="28"/>
      <c r="C17" s="28"/>
    </row>
    <row r="18" spans="1:3" ht="62.1" customHeight="1" x14ac:dyDescent="0.25">
      <c r="A18" s="28"/>
      <c r="B18" s="28"/>
      <c r="C18" s="28"/>
    </row>
    <row r="19" spans="1:3" ht="62.1" customHeight="1" x14ac:dyDescent="0.25">
      <c r="A19" s="28"/>
      <c r="B19" s="28"/>
      <c r="C19" s="28"/>
    </row>
    <row r="20" spans="1:3" ht="62.1" customHeight="1" x14ac:dyDescent="0.25">
      <c r="A20" s="28"/>
      <c r="B20" s="28"/>
      <c r="C20" s="28"/>
    </row>
    <row r="21" spans="1:3" ht="62.1" customHeight="1" x14ac:dyDescent="0.25">
      <c r="A21" s="28"/>
      <c r="B21" s="28"/>
      <c r="C21" s="28"/>
    </row>
    <row r="22" spans="1:3" ht="62.1" customHeight="1" x14ac:dyDescent="0.25">
      <c r="A22" s="28"/>
      <c r="B22" s="28"/>
      <c r="C22" s="28"/>
    </row>
  </sheetData>
  <mergeCells count="10">
    <mergeCell ref="A1:C1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conditionalFormatting sqref="B10:C10">
    <cfRule type="cellIs" dxfId="4" priority="1" operator="lessThan">
      <formula>0</formula>
    </cfRule>
    <cfRule type="cellIs" dxfId="3" priority="2" operator="greaterThanOrEqual">
      <formula>0</formula>
    </cfRule>
    <cfRule type="cellIs" dxfId="2" priority="5" operator="lessThan">
      <formula>0</formula>
    </cfRule>
  </conditionalFormatting>
  <conditionalFormatting sqref="B11:C11">
    <cfRule type="cellIs" dxfId="1" priority="3" operator="greaterThan">
      <formula>0</formula>
    </cfRule>
    <cfRule type="cellIs" priority="4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DO+DI</vt:lpstr>
      <vt:lpstr>Калькуляция DO+DI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KOKSHAROV IR</dc:creator>
  <cp:lastModifiedBy>KOKSHAROV IR</cp:lastModifiedBy>
  <dcterms:created xsi:type="dcterms:W3CDTF">2026-10-01T06:25:50Z</dcterms:created>
  <dcterms:modified xsi:type="dcterms:W3CDTF">2026-10-01T11:40:36Z</dcterms:modified>
</cp:coreProperties>
</file>